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hisabiteboul/Desktop/L3 EIF/S1/Statistiques/"/>
    </mc:Choice>
  </mc:AlternateContent>
  <xr:revisionPtr revIDLastSave="0" documentId="13_ncr:1_{3EE047E1-F6DC-2E41-A3E2-3A9B8D800C1D}" xr6:coauthVersionLast="47" xr6:coauthVersionMax="47" xr10:uidLastSave="{00000000-0000-0000-0000-000000000000}"/>
  <bookViews>
    <workbookView xWindow="0" yWindow="500" windowWidth="14240" windowHeight="16140" xr2:uid="{CDB6A868-5A82-874A-95A3-F48F20AD182F}"/>
  </bookViews>
  <sheets>
    <sheet name="Donnees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8" i="1" l="1"/>
  <c r="I357" i="1"/>
  <c r="I355" i="1"/>
  <c r="I354" i="1"/>
  <c r="I352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3" i="1"/>
  <c r="I331" i="1"/>
  <c r="I330" i="1"/>
  <c r="I329" i="1"/>
  <c r="I328" i="1"/>
  <c r="I327" i="1"/>
  <c r="I325" i="1"/>
  <c r="I324" i="1"/>
  <c r="I323" i="1"/>
  <c r="I322" i="1"/>
  <c r="I321" i="1"/>
  <c r="I320" i="1"/>
  <c r="I319" i="1"/>
  <c r="I317" i="1"/>
  <c r="I316" i="1"/>
  <c r="I315" i="1"/>
  <c r="I314" i="1"/>
  <c r="I312" i="1"/>
  <c r="I311" i="1"/>
  <c r="I309" i="1"/>
  <c r="I308" i="1"/>
  <c r="I307" i="1"/>
  <c r="I305" i="1"/>
  <c r="I304" i="1"/>
  <c r="I303" i="1"/>
  <c r="I302" i="1"/>
  <c r="I301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5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7" i="1"/>
  <c r="I265" i="1"/>
  <c r="I264" i="1"/>
  <c r="I262" i="1"/>
  <c r="I260" i="1"/>
  <c r="I259" i="1"/>
  <c r="I258" i="1"/>
  <c r="I256" i="1"/>
  <c r="I255" i="1"/>
  <c r="I254" i="1"/>
  <c r="I253" i="1"/>
  <c r="I251" i="1"/>
  <c r="I250" i="1"/>
  <c r="I249" i="1"/>
  <c r="I248" i="1"/>
  <c r="I247" i="1"/>
  <c r="I246" i="1"/>
  <c r="I245" i="1"/>
  <c r="I242" i="1"/>
  <c r="I241" i="1"/>
  <c r="I240" i="1"/>
  <c r="I239" i="1"/>
  <c r="I238" i="1"/>
  <c r="I237" i="1"/>
  <c r="I236" i="1"/>
  <c r="I235" i="1"/>
  <c r="I234" i="1"/>
  <c r="I233" i="1"/>
  <c r="I231" i="1"/>
  <c r="I230" i="1"/>
  <c r="I228" i="1"/>
  <c r="I229" i="1"/>
  <c r="I227" i="1"/>
  <c r="I226" i="1"/>
  <c r="I222" i="1"/>
  <c r="I221" i="1"/>
  <c r="I220" i="1"/>
  <c r="I219" i="1"/>
  <c r="I218" i="1"/>
  <c r="I217" i="1"/>
  <c r="I216" i="1"/>
  <c r="I214" i="1"/>
  <c r="I212" i="1"/>
  <c r="I211" i="1"/>
  <c r="I210" i="1"/>
  <c r="I209" i="1"/>
  <c r="I208" i="1"/>
  <c r="I207" i="1"/>
  <c r="I206" i="1"/>
  <c r="I205" i="1"/>
  <c r="I203" i="1"/>
  <c r="I202" i="1"/>
  <c r="I201" i="1"/>
  <c r="I200" i="1"/>
  <c r="I198" i="1"/>
  <c r="I197" i="1"/>
  <c r="I196" i="1"/>
  <c r="I194" i="1"/>
  <c r="I193" i="1"/>
  <c r="I192" i="1"/>
  <c r="I190" i="1"/>
  <c r="I189" i="1"/>
  <c r="I188" i="1"/>
  <c r="I185" i="1"/>
  <c r="I184" i="1"/>
  <c r="I182" i="1"/>
  <c r="I180" i="1"/>
  <c r="I179" i="1"/>
  <c r="I177" i="1"/>
  <c r="I176" i="1"/>
  <c r="I175" i="1"/>
  <c r="I173" i="1"/>
  <c r="I174" i="1"/>
  <c r="I172" i="1"/>
  <c r="I171" i="1"/>
  <c r="I170" i="1"/>
  <c r="I169" i="1"/>
  <c r="I168" i="1"/>
  <c r="I166" i="1"/>
  <c r="I165" i="1"/>
  <c r="I164" i="1"/>
  <c r="I162" i="1"/>
  <c r="I160" i="1"/>
  <c r="I159" i="1"/>
  <c r="I158" i="1"/>
  <c r="I157" i="1"/>
  <c r="I156" i="1"/>
  <c r="I155" i="1"/>
  <c r="I154" i="1"/>
  <c r="I153" i="1"/>
  <c r="I151" i="1"/>
  <c r="I148" i="1"/>
  <c r="I147" i="1"/>
  <c r="I146" i="1"/>
  <c r="I145" i="1"/>
  <c r="I144" i="1"/>
  <c r="I142" i="1"/>
  <c r="I141" i="1"/>
  <c r="I140" i="1"/>
  <c r="I139" i="1"/>
  <c r="I138" i="1"/>
  <c r="I137" i="1"/>
  <c r="I136" i="1"/>
  <c r="I135" i="1"/>
  <c r="I133" i="1"/>
  <c r="I132" i="1"/>
  <c r="I131" i="1"/>
  <c r="I130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3" i="1"/>
  <c r="I102" i="1"/>
  <c r="I101" i="1"/>
  <c r="I99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1" i="1"/>
  <c r="I80" i="1"/>
  <c r="I78" i="1"/>
  <c r="I76" i="1"/>
  <c r="I75" i="1"/>
  <c r="I74" i="1"/>
  <c r="I73" i="1"/>
  <c r="I72" i="1"/>
  <c r="I71" i="1"/>
  <c r="I70" i="1"/>
  <c r="I69" i="1"/>
  <c r="I68" i="1"/>
  <c r="I67" i="1"/>
  <c r="I44" i="1"/>
  <c r="I66" i="1"/>
  <c r="I65" i="1"/>
  <c r="I64" i="1"/>
  <c r="I61" i="1"/>
  <c r="I60" i="1"/>
  <c r="I59" i="1"/>
  <c r="I58" i="1"/>
  <c r="I57" i="1"/>
  <c r="I56" i="1"/>
  <c r="I54" i="1"/>
  <c r="I53" i="1"/>
  <c r="I52" i="1"/>
  <c r="I51" i="1"/>
  <c r="I181" i="1"/>
  <c r="I62" i="1"/>
  <c r="I77" i="1"/>
  <c r="I50" i="1"/>
  <c r="I49" i="1"/>
  <c r="I48" i="1"/>
  <c r="I47" i="1"/>
  <c r="I46" i="1"/>
  <c r="I45" i="1"/>
  <c r="I43" i="1"/>
  <c r="I42" i="1"/>
  <c r="I41" i="1"/>
  <c r="I40" i="1"/>
  <c r="I39" i="1"/>
  <c r="I38" i="1"/>
  <c r="I37" i="1"/>
  <c r="I36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2" i="1"/>
  <c r="I10" i="1"/>
  <c r="I9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<sst xmlns="http://schemas.openxmlformats.org/spreadsheetml/2006/main" count="1092" uniqueCount="311">
  <si>
    <t>Data</t>
  </si>
  <si>
    <t>Legout</t>
  </si>
  <si>
    <t>Tsurenko</t>
  </si>
  <si>
    <t>Madarasz</t>
  </si>
  <si>
    <t>Sock</t>
  </si>
  <si>
    <t>Jianu</t>
  </si>
  <si>
    <t>Matusevich</t>
  </si>
  <si>
    <t>Palosi</t>
  </si>
  <si>
    <t>Yamalapalli</t>
  </si>
  <si>
    <t>Darley</t>
  </si>
  <si>
    <t>Kempen</t>
  </si>
  <si>
    <t>Krom</t>
  </si>
  <si>
    <t>Sakkari</t>
  </si>
  <si>
    <t>Houkes</t>
  </si>
  <si>
    <t>Carle</t>
  </si>
  <si>
    <t>Alves</t>
  </si>
  <si>
    <t>Fung</t>
  </si>
  <si>
    <t>Bilchev</t>
  </si>
  <si>
    <t>Mmoh</t>
  </si>
  <si>
    <t>Tirante</t>
  </si>
  <si>
    <t>Rodeia</t>
  </si>
  <si>
    <t>Rodriguez</t>
  </si>
  <si>
    <t>Wassermann</t>
  </si>
  <si>
    <t>Anisimova</t>
  </si>
  <si>
    <t>Anselmo</t>
  </si>
  <si>
    <t>Rollins</t>
  </si>
  <si>
    <t>Cayetano</t>
  </si>
  <si>
    <t>Wilkins</t>
  </si>
  <si>
    <t>Krumich</t>
  </si>
  <si>
    <t>Bettini</t>
  </si>
  <si>
    <t>Malesevic</t>
  </si>
  <si>
    <t>Garcia</t>
  </si>
  <si>
    <t>Bilardo</t>
  </si>
  <si>
    <t>Goffin</t>
  </si>
  <si>
    <t>Ostapenko</t>
  </si>
  <si>
    <t>Sels</t>
  </si>
  <si>
    <t>Norrie</t>
  </si>
  <si>
    <t>Robbe</t>
  </si>
  <si>
    <t>Morderger</t>
  </si>
  <si>
    <t>Zeppieri</t>
  </si>
  <si>
    <t>Krutykh</t>
  </si>
  <si>
    <t>Bybel</t>
  </si>
  <si>
    <t>Garin</t>
  </si>
  <si>
    <t>Kyrgios</t>
  </si>
  <si>
    <t>Monteiro</t>
  </si>
  <si>
    <t>Royer</t>
  </si>
  <si>
    <t>Smitkova</t>
  </si>
  <si>
    <t>Janvier</t>
  </si>
  <si>
    <t>Cakarevic</t>
  </si>
  <si>
    <t>Veldheer</t>
  </si>
  <si>
    <t>Paolini</t>
  </si>
  <si>
    <t>Maria</t>
  </si>
  <si>
    <t>Djokovic</t>
  </si>
  <si>
    <t>Cecchinato</t>
  </si>
  <si>
    <t>Taverna</t>
  </si>
  <si>
    <t>Mchugh</t>
  </si>
  <si>
    <t>Larwig</t>
  </si>
  <si>
    <t>Danilovic</t>
  </si>
  <si>
    <t>Daniel</t>
  </si>
  <si>
    <t>Castagnola</t>
  </si>
  <si>
    <t>Stevens</t>
  </si>
  <si>
    <t>Evtimova</t>
  </si>
  <si>
    <t>Gabriela Ce</t>
  </si>
  <si>
    <t>Sheyngezikht</t>
  </si>
  <si>
    <t>Wiskandt</t>
  </si>
  <si>
    <t>Liang</t>
  </si>
  <si>
    <t>Speziali</t>
  </si>
  <si>
    <t>Nadal</t>
  </si>
  <si>
    <t>Neumayer</t>
  </si>
  <si>
    <t>Neuchrist</t>
  </si>
  <si>
    <t>Gureva</t>
  </si>
  <si>
    <t>Miralles</t>
  </si>
  <si>
    <t>Kumar</t>
  </si>
  <si>
    <t>Codd</t>
  </si>
  <si>
    <t>Butulija</t>
  </si>
  <si>
    <t>Navarro</t>
  </si>
  <si>
    <t>Martinez</t>
  </si>
  <si>
    <t>Pujolras</t>
  </si>
  <si>
    <t>Otin</t>
  </si>
  <si>
    <t>Peliwo</t>
  </si>
  <si>
    <t>Gadecki</t>
  </si>
  <si>
    <t>Masarova</t>
  </si>
  <si>
    <t>Ruzic</t>
  </si>
  <si>
    <t>Dancu</t>
  </si>
  <si>
    <t>Jabeur</t>
  </si>
  <si>
    <t>Jang</t>
  </si>
  <si>
    <t>Bangoura</t>
  </si>
  <si>
    <t>Bucsa</t>
  </si>
  <si>
    <t>Kym</t>
  </si>
  <si>
    <t>Sousa</t>
  </si>
  <si>
    <t>Karatsev</t>
  </si>
  <si>
    <t>Olivo</t>
  </si>
  <si>
    <t>Behulova</t>
  </si>
  <si>
    <t>Timofeeva</t>
  </si>
  <si>
    <t>Jirousek</t>
  </si>
  <si>
    <t>Prati</t>
  </si>
  <si>
    <t>Horansky</t>
  </si>
  <si>
    <t>Zakharova</t>
  </si>
  <si>
    <t>Hurrion</t>
  </si>
  <si>
    <t>Piangerelli</t>
  </si>
  <si>
    <t>Gigante</t>
  </si>
  <si>
    <t>Collarini</t>
  </si>
  <si>
    <t>Sharipov</t>
  </si>
  <si>
    <t>Tjandramulia</t>
  </si>
  <si>
    <t>Hon</t>
  </si>
  <si>
    <t>Ujvary</t>
  </si>
  <si>
    <t>Pereira</t>
  </si>
  <si>
    <t>Carreno-Busta</t>
  </si>
  <si>
    <t>Strakhova</t>
  </si>
  <si>
    <t>Belgraver</t>
  </si>
  <si>
    <t>Krajcik</t>
  </si>
  <si>
    <t>Terziyska</t>
  </si>
  <si>
    <t>Ruud</t>
  </si>
  <si>
    <t>Siskova</t>
  </si>
  <si>
    <t>Mcphee</t>
  </si>
  <si>
    <t>Baindl</t>
  </si>
  <si>
    <t>Pigossi</t>
  </si>
  <si>
    <t>Jokic</t>
  </si>
  <si>
    <t>Cressy</t>
  </si>
  <si>
    <t>Artnak</t>
  </si>
  <si>
    <t>Siniakova</t>
  </si>
  <si>
    <t>Hui</t>
  </si>
  <si>
    <t>Ansari</t>
  </si>
  <si>
    <t>Patten</t>
  </si>
  <si>
    <t>Egea</t>
  </si>
  <si>
    <t>Handel</t>
  </si>
  <si>
    <t>Waltert</t>
  </si>
  <si>
    <t>Jakupovic</t>
  </si>
  <si>
    <t>Lehecka</t>
  </si>
  <si>
    <t>Lahey</t>
  </si>
  <si>
    <t>Okalova</t>
  </si>
  <si>
    <t>Nikles</t>
  </si>
  <si>
    <t>Birrell</t>
  </si>
  <si>
    <t>Laaroussi</t>
  </si>
  <si>
    <t>Borodulina</t>
  </si>
  <si>
    <t>Hibino</t>
  </si>
  <si>
    <t>Nugroho</t>
  </si>
  <si>
    <t>Lisicki</t>
  </si>
  <si>
    <t>Lamens</t>
  </si>
  <si>
    <t>Zhu</t>
  </si>
  <si>
    <t>Coric</t>
  </si>
  <si>
    <t>Skatov</t>
  </si>
  <si>
    <t>Santos</t>
  </si>
  <si>
    <t>Fognini</t>
  </si>
  <si>
    <t>Jarry</t>
  </si>
  <si>
    <t>Shang</t>
  </si>
  <si>
    <t>Wolf</t>
  </si>
  <si>
    <t>Ortenzi</t>
  </si>
  <si>
    <t>Janicijevic</t>
  </si>
  <si>
    <t>Tracy</t>
  </si>
  <si>
    <t>Lamasine</t>
  </si>
  <si>
    <t>Fanselow</t>
  </si>
  <si>
    <t>Ramirez</t>
  </si>
  <si>
    <t>Alcaraz</t>
  </si>
  <si>
    <t>Stricker</t>
  </si>
  <si>
    <t>Nava  </t>
  </si>
  <si>
    <t>Barrere</t>
  </si>
  <si>
    <t>Picchione</t>
  </si>
  <si>
    <t>Melzer</t>
  </si>
  <si>
    <t>Ponchet</t>
  </si>
  <si>
    <t>Saidenova</t>
  </si>
  <si>
    <t>Stara</t>
  </si>
  <si>
    <t>Kopriva</t>
  </si>
  <si>
    <t>Perez</t>
  </si>
  <si>
    <t>Forti</t>
  </si>
  <si>
    <t>Mayot</t>
  </si>
  <si>
    <t>Maleckova</t>
  </si>
  <si>
    <t>De La Torre</t>
  </si>
  <si>
    <t>Bertola</t>
  </si>
  <si>
    <t>Zapp</t>
  </si>
  <si>
    <t>Gombos</t>
  </si>
  <si>
    <t>Montagud</t>
  </si>
  <si>
    <t>Young</t>
  </si>
  <si>
    <t>Mertens</t>
  </si>
  <si>
    <t>Namigata</t>
  </si>
  <si>
    <t>Hartono</t>
  </si>
  <si>
    <t>Lazarov</t>
  </si>
  <si>
    <t>Battaglino</t>
  </si>
  <si>
    <t>Kachmazov</t>
  </si>
  <si>
    <t>Christie</t>
  </si>
  <si>
    <t>Paoletti</t>
  </si>
  <si>
    <t>Cadar</t>
  </si>
  <si>
    <t>Fatic</t>
  </si>
  <si>
    <t>Carabelli</t>
  </si>
  <si>
    <t>Reyngold</t>
  </si>
  <si>
    <t>Boskovic</t>
  </si>
  <si>
    <t>Kamenoff</t>
  </si>
  <si>
    <t>Moratelli</t>
  </si>
  <si>
    <t>Gakhov</t>
  </si>
  <si>
    <t>Kuzmanov</t>
  </si>
  <si>
    <t>Moreno</t>
  </si>
  <si>
    <t>Vale</t>
  </si>
  <si>
    <t>Rus</t>
  </si>
  <si>
    <t>Molcan</t>
  </si>
  <si>
    <t>Raina</t>
  </si>
  <si>
    <t>Lumsden</t>
  </si>
  <si>
    <t>Holmgren</t>
  </si>
  <si>
    <t>Sadaoui</t>
  </si>
  <si>
    <t>Pearson</t>
  </si>
  <si>
    <t>Cungu</t>
  </si>
  <si>
    <t>Molino</t>
  </si>
  <si>
    <t>Agut</t>
  </si>
  <si>
    <t>Arcangioli</t>
  </si>
  <si>
    <t>Lane</t>
  </si>
  <si>
    <t>Fery</t>
  </si>
  <si>
    <t>Malygina</t>
  </si>
  <si>
    <t>Lestienne</t>
  </si>
  <si>
    <t>Flores</t>
  </si>
  <si>
    <t>Alvarez</t>
  </si>
  <si>
    <t>Zheng</t>
  </si>
  <si>
    <t>Wang</t>
  </si>
  <si>
    <t>Paul</t>
  </si>
  <si>
    <t>Townsend</t>
  </si>
  <si>
    <t>Mandlik</t>
  </si>
  <si>
    <t>Kypson</t>
  </si>
  <si>
    <t>Moller</t>
  </si>
  <si>
    <t>Paulson</t>
  </si>
  <si>
    <t>Mack</t>
  </si>
  <si>
    <t>Ruggeri</t>
  </si>
  <si>
    <t>Breckova</t>
  </si>
  <si>
    <t>Schoolkate</t>
  </si>
  <si>
    <t>Sultanov</t>
  </si>
  <si>
    <t>Lenz</t>
  </si>
  <si>
    <t>Naito</t>
  </si>
  <si>
    <t>Wessels</t>
  </si>
  <si>
    <t>Voegele</t>
  </si>
  <si>
    <t>Wendelken</t>
  </si>
  <si>
    <t>Hoang</t>
  </si>
  <si>
    <t>Sanghera</t>
  </si>
  <si>
    <t>Catarina</t>
  </si>
  <si>
    <t>Gentzsch</t>
  </si>
  <si>
    <t>Liebkind</t>
  </si>
  <si>
    <t>Domingues</t>
  </si>
  <si>
    <t>Vecic</t>
  </si>
  <si>
    <t>Kuzmova</t>
  </si>
  <si>
    <t>Tubello</t>
  </si>
  <si>
    <t>Silva</t>
  </si>
  <si>
    <t>Bonardi</t>
  </si>
  <si>
    <t>Kubka</t>
  </si>
  <si>
    <t>Gloeckler</t>
  </si>
  <si>
    <t>Ferrari</t>
  </si>
  <si>
    <t>Zaytseva</t>
  </si>
  <si>
    <t>Tomasetto</t>
  </si>
  <si>
    <t>Guinard</t>
  </si>
  <si>
    <t>Noskova</t>
  </si>
  <si>
    <t>San Martin</t>
  </si>
  <si>
    <t>Paszek</t>
  </si>
  <si>
    <t>Turati</t>
  </si>
  <si>
    <t>Bokova</t>
  </si>
  <si>
    <t>Tona</t>
  </si>
  <si>
    <t>Chwalinska</t>
  </si>
  <si>
    <t>Arnaldi</t>
  </si>
  <si>
    <t>Loore</t>
  </si>
  <si>
    <t>Tumasonis</t>
  </si>
  <si>
    <t>Korda</t>
  </si>
  <si>
    <t>Sandberg</t>
  </si>
  <si>
    <t>Karatancheva</t>
  </si>
  <si>
    <t>Trinker</t>
  </si>
  <si>
    <t>Chepelev</t>
  </si>
  <si>
    <t>Mutavdzic</t>
  </si>
  <si>
    <t>Tan</t>
  </si>
  <si>
    <t>Maia</t>
  </si>
  <si>
    <t>Serdarusic</t>
  </si>
  <si>
    <t>Helgo</t>
  </si>
  <si>
    <t>Moraing</t>
  </si>
  <si>
    <t>Barthel</t>
  </si>
  <si>
    <t>Taberner</t>
  </si>
  <si>
    <t>Rusova</t>
  </si>
  <si>
    <t>Palicova</t>
  </si>
  <si>
    <t>Tanasie</t>
  </si>
  <si>
    <t>Agwi</t>
  </si>
  <si>
    <t>Tabilo</t>
  </si>
  <si>
    <t>Mejia</t>
  </si>
  <si>
    <t>Postay</t>
  </si>
  <si>
    <t>Sebesta</t>
  </si>
  <si>
    <t>Andreev</t>
  </si>
  <si>
    <t>Kenin</t>
  </si>
  <si>
    <t>Bakhmutkina</t>
  </si>
  <si>
    <t>Neuhaus</t>
  </si>
  <si>
    <t>Catani</t>
  </si>
  <si>
    <t>Fierros</t>
  </si>
  <si>
    <t>Kerkhove</t>
  </si>
  <si>
    <t>Tsitsipas</t>
  </si>
  <si>
    <t>Fritz</t>
  </si>
  <si>
    <t>Tiafoe</t>
  </si>
  <si>
    <t>Messieurs</t>
  </si>
  <si>
    <t>Dames</t>
  </si>
  <si>
    <t>Gains</t>
  </si>
  <si>
    <t>Résultats</t>
  </si>
  <si>
    <t>Côtes</t>
  </si>
  <si>
    <t>Mises</t>
  </si>
  <si>
    <t>Genres</t>
  </si>
  <si>
    <t>Gagné</t>
  </si>
  <si>
    <t>Perdu</t>
  </si>
  <si>
    <t>Joueurs</t>
  </si>
  <si>
    <t>ROI</t>
  </si>
  <si>
    <t xml:space="preserve">Norrie </t>
  </si>
  <si>
    <t>Riske</t>
  </si>
  <si>
    <t xml:space="preserve">Zekic </t>
  </si>
  <si>
    <t>Tomljanovic</t>
  </si>
  <si>
    <t>Kubler</t>
  </si>
  <si>
    <t xml:space="preserve">Swiatek </t>
  </si>
  <si>
    <t>Storch</t>
  </si>
  <si>
    <t>PVictoire</t>
  </si>
  <si>
    <t>De Almeida</t>
  </si>
  <si>
    <t>Shevchenko</t>
  </si>
  <si>
    <t>Wallart</t>
  </si>
  <si>
    <t>Ignatik</t>
  </si>
  <si>
    <t>Bellucci</t>
  </si>
  <si>
    <t>Visscher</t>
  </si>
  <si>
    <t>Couacaud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</si>
</sst>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4C015-7CF4-3F4C-8AF3-A09567E45EA9}">
  <sheetPr codeName="Feuil1"/>
  <dimension ref="A1:J416"/>
  <sheetViews>
    <sheetView tabSelected="1" topLeftCell="A338" zoomScaleNormal="100" workbookViewId="0">
      <selection activeCell="I359" sqref="I359"/>
    </sheetView>
  </sheetViews>
  <sheetFormatPr baseColWidth="10" defaultRowHeight="16" x14ac:dyDescent="0.2"/>
  <cols>
    <col min="9" max="9" width="25.6640625" bestFit="1" customWidth="1"/>
  </cols>
  <sheetData>
    <row r="1" spans="1:10" x14ac:dyDescent="0.2">
      <c r="A1" s="1" t="s">
        <v>0</v>
      </c>
      <c r="B1" s="1" t="s">
        <v>294</v>
      </c>
      <c r="C1" s="1" t="s">
        <v>291</v>
      </c>
      <c r="D1" s="1" t="s">
        <v>290</v>
      </c>
      <c r="E1" s="1" t="s">
        <v>289</v>
      </c>
      <c r="F1" s="1" t="s">
        <v>287</v>
      </c>
      <c r="G1" s="1" t="s">
        <v>288</v>
      </c>
      <c r="H1" s="1" t="s">
        <v>295</v>
      </c>
      <c r="I1" s="1" t="s">
        <v>303</v>
      </c>
    </row>
    <row r="2" spans="1:10" x14ac:dyDescent="0.2">
      <c r="A2" s="2">
        <v>44743</v>
      </c>
      <c r="B2" s="3" t="s">
        <v>1</v>
      </c>
      <c r="C2" s="3" t="s">
        <v>285</v>
      </c>
      <c r="D2" s="3">
        <v>10</v>
      </c>
      <c r="E2" s="3">
        <v>1.83</v>
      </c>
      <c r="F2" s="3">
        <v>8.3000000000000007</v>
      </c>
      <c r="G2" s="3" t="s">
        <v>292</v>
      </c>
      <c r="H2">
        <v>0.83000000000000007</v>
      </c>
      <c r="I2">
        <f>32/52</f>
        <v>0.61538461538461542</v>
      </c>
    </row>
    <row r="3" spans="1:10" x14ac:dyDescent="0.2">
      <c r="A3" s="2">
        <v>44743</v>
      </c>
      <c r="B3" s="3" t="s">
        <v>2</v>
      </c>
      <c r="C3" s="3" t="s">
        <v>286</v>
      </c>
      <c r="D3" s="3">
        <v>10</v>
      </c>
      <c r="E3" s="3">
        <v>1.8</v>
      </c>
      <c r="F3" s="3">
        <v>8</v>
      </c>
      <c r="G3" s="3" t="s">
        <v>293</v>
      </c>
      <c r="H3">
        <v>-1</v>
      </c>
      <c r="I3">
        <f>25/39</f>
        <v>0.64102564102564108</v>
      </c>
    </row>
    <row r="4" spans="1:10" x14ac:dyDescent="0.2">
      <c r="A4" s="2">
        <v>44743</v>
      </c>
      <c r="B4" s="3" t="s">
        <v>3</v>
      </c>
      <c r="C4" s="3" t="s">
        <v>285</v>
      </c>
      <c r="D4" s="3">
        <v>10</v>
      </c>
      <c r="E4" s="3">
        <v>1.8</v>
      </c>
      <c r="F4" s="3">
        <v>8</v>
      </c>
      <c r="G4" s="3" t="s">
        <v>292</v>
      </c>
      <c r="H4">
        <v>0.8</v>
      </c>
      <c r="I4">
        <f>38/58</f>
        <v>0.65517241379310343</v>
      </c>
    </row>
    <row r="5" spans="1:10" x14ac:dyDescent="0.2">
      <c r="A5" s="2">
        <v>44743</v>
      </c>
      <c r="B5" s="3" t="s">
        <v>4</v>
      </c>
      <c r="C5" s="3" t="s">
        <v>285</v>
      </c>
      <c r="D5" s="3">
        <v>10</v>
      </c>
      <c r="E5" s="3">
        <v>1.5</v>
      </c>
      <c r="F5" s="3">
        <v>5</v>
      </c>
      <c r="G5" s="3" t="s">
        <v>292</v>
      </c>
      <c r="H5">
        <v>0.5</v>
      </c>
      <c r="I5">
        <f>33/51</f>
        <v>0.6470588235294118</v>
      </c>
    </row>
    <row r="6" spans="1:10" x14ac:dyDescent="0.2">
      <c r="A6" s="2">
        <v>44743</v>
      </c>
      <c r="B6" s="3" t="s">
        <v>5</v>
      </c>
      <c r="C6" s="3" t="s">
        <v>285</v>
      </c>
      <c r="D6" s="3">
        <v>10</v>
      </c>
      <c r="E6" s="3">
        <v>2.5</v>
      </c>
      <c r="F6" s="3">
        <v>15</v>
      </c>
      <c r="G6" s="3" t="s">
        <v>293</v>
      </c>
      <c r="H6">
        <v>-1</v>
      </c>
      <c r="I6">
        <f>32/72</f>
        <v>0.44444444444444442</v>
      </c>
    </row>
    <row r="7" spans="1:10" x14ac:dyDescent="0.2">
      <c r="A7" s="2">
        <v>44743</v>
      </c>
      <c r="B7" s="3" t="s">
        <v>6</v>
      </c>
      <c r="C7" s="3" t="s">
        <v>285</v>
      </c>
      <c r="D7" s="3">
        <v>10</v>
      </c>
      <c r="E7" s="3">
        <v>1.53</v>
      </c>
      <c r="F7" s="3">
        <v>5.3</v>
      </c>
      <c r="G7" s="3" t="s">
        <v>293</v>
      </c>
      <c r="H7">
        <v>-1</v>
      </c>
      <c r="I7">
        <f>40/64</f>
        <v>0.625</v>
      </c>
    </row>
    <row r="8" spans="1:10" x14ac:dyDescent="0.2">
      <c r="A8" s="2">
        <v>44743</v>
      </c>
      <c r="B8" s="3" t="s">
        <v>7</v>
      </c>
      <c r="C8" s="3" t="s">
        <v>285</v>
      </c>
      <c r="D8" s="3">
        <v>10</v>
      </c>
      <c r="E8" s="3">
        <v>1.5</v>
      </c>
      <c r="F8" s="3">
        <v>5</v>
      </c>
      <c r="G8" s="3" t="s">
        <v>292</v>
      </c>
      <c r="H8">
        <v>0.5</v>
      </c>
      <c r="I8">
        <f>39/62</f>
        <v>0.62903225806451613</v>
      </c>
    </row>
    <row r="9" spans="1:10" x14ac:dyDescent="0.2">
      <c r="A9" s="2">
        <v>44743</v>
      </c>
      <c r="B9" s="3" t="s">
        <v>8</v>
      </c>
      <c r="C9" s="3" t="s">
        <v>286</v>
      </c>
      <c r="D9" s="3">
        <v>10</v>
      </c>
      <c r="E9" s="3">
        <v>1.61</v>
      </c>
      <c r="F9" s="3">
        <v>6.1</v>
      </c>
      <c r="G9" s="3" t="s">
        <v>292</v>
      </c>
      <c r="H9">
        <v>0.61</v>
      </c>
      <c r="I9">
        <f>20/36</f>
        <v>0.55555555555555558</v>
      </c>
    </row>
    <row r="10" spans="1:10" x14ac:dyDescent="0.2">
      <c r="A10" s="2">
        <v>44743</v>
      </c>
      <c r="B10" s="3" t="s">
        <v>9</v>
      </c>
      <c r="C10" s="3" t="s">
        <v>286</v>
      </c>
      <c r="D10" s="3">
        <v>10</v>
      </c>
      <c r="E10" s="3">
        <v>1.61</v>
      </c>
      <c r="F10" s="3">
        <v>6.1</v>
      </c>
      <c r="G10" s="3" t="s">
        <v>293</v>
      </c>
      <c r="H10">
        <v>-1</v>
      </c>
      <c r="I10">
        <f>14/36</f>
        <v>0.3888888888888889</v>
      </c>
    </row>
    <row r="11" spans="1:10" x14ac:dyDescent="0.2">
      <c r="A11" s="2">
        <v>44743</v>
      </c>
      <c r="B11" s="3" t="s">
        <v>10</v>
      </c>
      <c r="C11" s="3" t="s">
        <v>286</v>
      </c>
      <c r="D11" s="3">
        <v>10</v>
      </c>
      <c r="E11" s="3">
        <v>1.53</v>
      </c>
      <c r="F11" s="3">
        <v>5.3</v>
      </c>
      <c r="G11" s="3" t="s">
        <v>292</v>
      </c>
      <c r="H11">
        <v>0.53</v>
      </c>
      <c r="I11">
        <f>44/68</f>
        <v>0.6470588235294118</v>
      </c>
    </row>
    <row r="12" spans="1:10" ht="17" x14ac:dyDescent="0.25">
      <c r="A12" s="2">
        <v>44743</v>
      </c>
      <c r="B12" s="3" t="s">
        <v>11</v>
      </c>
      <c r="C12" s="3" t="s">
        <v>285</v>
      </c>
      <c r="D12" s="3">
        <v>10</v>
      </c>
      <c r="E12" s="3">
        <v>1.5</v>
      </c>
      <c r="F12" s="3">
        <v>5</v>
      </c>
      <c r="G12" s="3" t="s">
        <v>292</v>
      </c>
      <c r="H12">
        <v>0.5</v>
      </c>
      <c r="I12">
        <f>23/37</f>
        <v>0.6216216216216216</v>
      </c>
      <c r="J12" s="4"/>
    </row>
    <row r="13" spans="1:10" x14ac:dyDescent="0.2">
      <c r="A13" s="2">
        <v>44743</v>
      </c>
      <c r="B13" s="3" t="s">
        <v>12</v>
      </c>
      <c r="C13" s="3" t="s">
        <v>286</v>
      </c>
      <c r="D13" s="3">
        <v>10</v>
      </c>
      <c r="E13" s="3">
        <v>1.72</v>
      </c>
      <c r="F13" s="3">
        <v>7.1999999999999904</v>
      </c>
      <c r="G13" s="3" t="s">
        <v>293</v>
      </c>
      <c r="H13">
        <v>-1</v>
      </c>
      <c r="I13">
        <f>40/63</f>
        <v>0.63492063492063489</v>
      </c>
    </row>
    <row r="14" spans="1:10" x14ac:dyDescent="0.2">
      <c r="A14" s="2">
        <v>44743</v>
      </c>
      <c r="B14" s="3" t="s">
        <v>297</v>
      </c>
      <c r="C14" s="3" t="s">
        <v>286</v>
      </c>
      <c r="D14" s="3">
        <v>10</v>
      </c>
      <c r="E14" s="3">
        <v>1.72</v>
      </c>
      <c r="F14" s="3">
        <v>7.1999999999999904</v>
      </c>
      <c r="G14" s="3" t="s">
        <v>293</v>
      </c>
      <c r="H14">
        <v>-1</v>
      </c>
      <c r="I14">
        <f>24/48</f>
        <v>0.5</v>
      </c>
    </row>
    <row r="15" spans="1:10" x14ac:dyDescent="0.2">
      <c r="A15" s="2">
        <v>44743</v>
      </c>
      <c r="B15" s="3" t="s">
        <v>13</v>
      </c>
      <c r="C15" s="3" t="s">
        <v>285</v>
      </c>
      <c r="D15" s="3">
        <v>10</v>
      </c>
      <c r="E15" s="3">
        <v>2.2000000000000002</v>
      </c>
      <c r="F15" s="3">
        <v>12</v>
      </c>
      <c r="G15" s="3" t="s">
        <v>293</v>
      </c>
      <c r="H15">
        <v>-1</v>
      </c>
      <c r="I15">
        <f>76/96</f>
        <v>0.79166666666666663</v>
      </c>
    </row>
    <row r="16" spans="1:10" x14ac:dyDescent="0.2">
      <c r="A16" s="2">
        <v>44743</v>
      </c>
      <c r="B16" s="3" t="s">
        <v>14</v>
      </c>
      <c r="C16" s="3" t="s">
        <v>286</v>
      </c>
      <c r="D16" s="3">
        <v>10</v>
      </c>
      <c r="E16" s="3">
        <v>1.61</v>
      </c>
      <c r="F16" s="3">
        <v>6.1</v>
      </c>
      <c r="G16" s="3" t="s">
        <v>292</v>
      </c>
      <c r="H16">
        <v>0.61</v>
      </c>
      <c r="I16">
        <f>51/87</f>
        <v>0.58620689655172409</v>
      </c>
    </row>
    <row r="17" spans="1:9" x14ac:dyDescent="0.2">
      <c r="A17" s="2">
        <v>44743</v>
      </c>
      <c r="B17" s="3" t="s">
        <v>15</v>
      </c>
      <c r="C17" s="3" t="s">
        <v>285</v>
      </c>
      <c r="D17" s="3">
        <v>10</v>
      </c>
      <c r="E17" s="3">
        <v>1.75</v>
      </c>
      <c r="F17" s="3">
        <v>7.5</v>
      </c>
      <c r="G17" s="3" t="s">
        <v>292</v>
      </c>
      <c r="H17">
        <v>0.75</v>
      </c>
      <c r="I17">
        <f>36/64</f>
        <v>0.5625</v>
      </c>
    </row>
    <row r="18" spans="1:9" x14ac:dyDescent="0.2">
      <c r="A18" s="2">
        <v>44743</v>
      </c>
      <c r="B18" s="3" t="s">
        <v>16</v>
      </c>
      <c r="C18" s="3" t="s">
        <v>286</v>
      </c>
      <c r="D18" s="3">
        <v>10</v>
      </c>
      <c r="E18" s="3">
        <v>2.25</v>
      </c>
      <c r="F18" s="3">
        <v>12.5</v>
      </c>
      <c r="G18" s="3" t="s">
        <v>293</v>
      </c>
      <c r="H18">
        <v>-1</v>
      </c>
      <c r="I18">
        <f>40/56</f>
        <v>0.7142857142857143</v>
      </c>
    </row>
    <row r="19" spans="1:9" x14ac:dyDescent="0.2">
      <c r="A19" s="2">
        <v>44743</v>
      </c>
      <c r="B19" s="3" t="s">
        <v>296</v>
      </c>
      <c r="C19" s="3" t="s">
        <v>285</v>
      </c>
      <c r="D19" s="3">
        <v>10</v>
      </c>
      <c r="E19" s="3">
        <v>1.57</v>
      </c>
      <c r="F19" s="3">
        <v>5.7</v>
      </c>
      <c r="G19" s="3" t="s">
        <v>292</v>
      </c>
      <c r="H19">
        <v>0.57000000000000006</v>
      </c>
      <c r="I19">
        <f>52/80</f>
        <v>0.65</v>
      </c>
    </row>
    <row r="20" spans="1:9" x14ac:dyDescent="0.2">
      <c r="A20" s="2">
        <v>44743</v>
      </c>
      <c r="B20" s="3" t="s">
        <v>17</v>
      </c>
      <c r="C20" s="3" t="s">
        <v>286</v>
      </c>
      <c r="D20" s="3">
        <v>10</v>
      </c>
      <c r="E20" s="3">
        <v>1.75</v>
      </c>
      <c r="F20" s="3">
        <v>7.5</v>
      </c>
      <c r="G20" s="3" t="s">
        <v>293</v>
      </c>
      <c r="H20">
        <v>-1</v>
      </c>
      <c r="I20">
        <f>8/11</f>
        <v>0.72727272727272729</v>
      </c>
    </row>
    <row r="21" spans="1:9" x14ac:dyDescent="0.2">
      <c r="A21" s="2">
        <v>44743</v>
      </c>
      <c r="B21" s="3" t="s">
        <v>18</v>
      </c>
      <c r="C21" s="3" t="s">
        <v>285</v>
      </c>
      <c r="D21" s="3">
        <v>10</v>
      </c>
      <c r="E21" s="3">
        <v>1.61</v>
      </c>
      <c r="F21" s="3">
        <v>6.1</v>
      </c>
      <c r="G21" s="3" t="s">
        <v>292</v>
      </c>
      <c r="H21">
        <v>0.61</v>
      </c>
      <c r="I21">
        <f>44/73</f>
        <v>0.60273972602739723</v>
      </c>
    </row>
    <row r="22" spans="1:9" x14ac:dyDescent="0.2">
      <c r="A22" s="2">
        <v>44743</v>
      </c>
      <c r="B22" s="3" t="s">
        <v>298</v>
      </c>
      <c r="C22" s="3" t="s">
        <v>285</v>
      </c>
      <c r="D22" s="3">
        <v>10</v>
      </c>
      <c r="E22" s="3">
        <v>1.66</v>
      </c>
      <c r="F22" s="3">
        <v>6.5999999999999899</v>
      </c>
      <c r="G22" s="3" t="s">
        <v>292</v>
      </c>
      <c r="H22">
        <v>0.65999999999999903</v>
      </c>
      <c r="I22">
        <f>41/73</f>
        <v>0.56164383561643838</v>
      </c>
    </row>
    <row r="23" spans="1:9" x14ac:dyDescent="0.2">
      <c r="A23" s="2">
        <v>44744</v>
      </c>
      <c r="B23" s="3" t="s">
        <v>299</v>
      </c>
      <c r="C23" s="3" t="s">
        <v>286</v>
      </c>
      <c r="D23" s="3">
        <v>10</v>
      </c>
      <c r="E23" s="3">
        <v>2</v>
      </c>
      <c r="F23" s="3">
        <v>10</v>
      </c>
      <c r="G23" s="3" t="s">
        <v>292</v>
      </c>
      <c r="H23">
        <v>1</v>
      </c>
      <c r="I23">
        <f>38/65</f>
        <v>0.58461538461538465</v>
      </c>
    </row>
    <row r="24" spans="1:9" x14ac:dyDescent="0.2">
      <c r="A24" s="2">
        <v>44744</v>
      </c>
      <c r="B24" s="3" t="s">
        <v>19</v>
      </c>
      <c r="C24" s="3" t="s">
        <v>285</v>
      </c>
      <c r="D24" s="3">
        <v>10</v>
      </c>
      <c r="E24" s="3">
        <v>2.0499999999999998</v>
      </c>
      <c r="F24" s="3">
        <v>10.5</v>
      </c>
      <c r="G24" s="3" t="s">
        <v>292</v>
      </c>
      <c r="H24">
        <v>1.05</v>
      </c>
      <c r="I24">
        <f>28/59</f>
        <v>0.47457627118644069</v>
      </c>
    </row>
    <row r="25" spans="1:9" x14ac:dyDescent="0.2">
      <c r="A25" s="2">
        <v>44744</v>
      </c>
      <c r="B25" s="3" t="s">
        <v>20</v>
      </c>
      <c r="C25" s="3" t="s">
        <v>285</v>
      </c>
      <c r="D25" s="3">
        <v>10</v>
      </c>
      <c r="E25" s="3">
        <v>3</v>
      </c>
      <c r="F25" s="3">
        <v>20</v>
      </c>
      <c r="G25" s="3" t="s">
        <v>292</v>
      </c>
      <c r="H25">
        <v>2</v>
      </c>
      <c r="I25">
        <f>8/15</f>
        <v>0.53333333333333333</v>
      </c>
    </row>
    <row r="26" spans="1:9" x14ac:dyDescent="0.2">
      <c r="A26" s="2">
        <v>44744</v>
      </c>
      <c r="B26" s="3" t="s">
        <v>21</v>
      </c>
      <c r="C26" s="3" t="s">
        <v>285</v>
      </c>
      <c r="D26" s="3">
        <v>10</v>
      </c>
      <c r="E26" s="3">
        <v>1.95</v>
      </c>
      <c r="F26" s="3">
        <v>9.5</v>
      </c>
      <c r="G26" s="3" t="s">
        <v>293</v>
      </c>
      <c r="H26">
        <v>-1</v>
      </c>
      <c r="I26">
        <f>10/28</f>
        <v>0.35714285714285715</v>
      </c>
    </row>
    <row r="27" spans="1:9" x14ac:dyDescent="0.2">
      <c r="A27" s="2">
        <v>44744</v>
      </c>
      <c r="B27" s="3" t="s">
        <v>300</v>
      </c>
      <c r="C27" s="3" t="s">
        <v>285</v>
      </c>
      <c r="D27" s="3">
        <v>10</v>
      </c>
      <c r="E27" s="3">
        <v>2.2000000000000002</v>
      </c>
      <c r="F27" s="3">
        <v>12</v>
      </c>
      <c r="G27" s="3" t="s">
        <v>292</v>
      </c>
      <c r="H27">
        <v>1.2</v>
      </c>
      <c r="I27">
        <f>50/72</f>
        <v>0.69444444444444442</v>
      </c>
    </row>
    <row r="28" spans="1:9" x14ac:dyDescent="0.2">
      <c r="A28" s="2">
        <v>44744</v>
      </c>
      <c r="B28" s="3" t="s">
        <v>22</v>
      </c>
      <c r="C28" s="3" t="s">
        <v>285</v>
      </c>
      <c r="D28" s="3">
        <v>10</v>
      </c>
      <c r="E28" s="3">
        <v>3.25</v>
      </c>
      <c r="F28" s="3">
        <v>22.5</v>
      </c>
      <c r="G28" s="3" t="s">
        <v>293</v>
      </c>
      <c r="H28">
        <v>-1</v>
      </c>
      <c r="I28">
        <f>28/43</f>
        <v>0.65116279069767447</v>
      </c>
    </row>
    <row r="29" spans="1:9" x14ac:dyDescent="0.2">
      <c r="A29" s="2">
        <v>44744</v>
      </c>
      <c r="B29" s="3" t="s">
        <v>23</v>
      </c>
      <c r="C29" s="3" t="s">
        <v>286</v>
      </c>
      <c r="D29" s="3">
        <v>10</v>
      </c>
      <c r="E29" s="3">
        <v>1.66</v>
      </c>
      <c r="F29" s="3">
        <v>6.5999999999999899</v>
      </c>
      <c r="G29" s="3" t="s">
        <v>292</v>
      </c>
      <c r="H29">
        <v>0.65999999999999903</v>
      </c>
      <c r="I29">
        <f>33/47</f>
        <v>0.7021276595744681</v>
      </c>
    </row>
    <row r="30" spans="1:9" x14ac:dyDescent="0.2">
      <c r="A30" s="2">
        <v>44744</v>
      </c>
      <c r="B30" s="3" t="s">
        <v>301</v>
      </c>
      <c r="C30" s="3" t="s">
        <v>286</v>
      </c>
      <c r="D30" s="3">
        <v>10</v>
      </c>
      <c r="E30" s="3">
        <v>1.5</v>
      </c>
      <c r="F30" s="3">
        <v>5</v>
      </c>
      <c r="G30" s="3" t="s">
        <v>293</v>
      </c>
      <c r="H30">
        <v>-1</v>
      </c>
      <c r="I30">
        <f>70/80</f>
        <v>0.875</v>
      </c>
    </row>
    <row r="31" spans="1:9" x14ac:dyDescent="0.2">
      <c r="A31" s="2">
        <v>44744</v>
      </c>
      <c r="B31" s="3" t="s">
        <v>24</v>
      </c>
      <c r="C31" s="3" t="s">
        <v>285</v>
      </c>
      <c r="D31" s="3">
        <v>5</v>
      </c>
      <c r="E31" s="3">
        <v>2.1</v>
      </c>
      <c r="F31" s="3">
        <v>5.5</v>
      </c>
      <c r="G31" s="3" t="s">
        <v>293</v>
      </c>
      <c r="H31">
        <v>-1</v>
      </c>
      <c r="I31">
        <f>3/8</f>
        <v>0.375</v>
      </c>
    </row>
    <row r="32" spans="1:9" x14ac:dyDescent="0.2">
      <c r="A32" s="2">
        <v>44744</v>
      </c>
      <c r="B32" s="3" t="s">
        <v>25</v>
      </c>
      <c r="C32" s="3" t="s">
        <v>285</v>
      </c>
      <c r="D32" s="3">
        <v>5</v>
      </c>
      <c r="E32" s="3">
        <v>2.1</v>
      </c>
      <c r="F32" s="3">
        <v>5.5</v>
      </c>
      <c r="G32" s="3" t="s">
        <v>292</v>
      </c>
      <c r="H32">
        <v>1.1000000000000001</v>
      </c>
      <c r="I32">
        <f>14/21</f>
        <v>0.66666666666666663</v>
      </c>
    </row>
    <row r="33" spans="1:9" x14ac:dyDescent="0.2">
      <c r="A33" s="2">
        <v>44744</v>
      </c>
      <c r="B33" s="3" t="s">
        <v>26</v>
      </c>
      <c r="C33" s="3" t="s">
        <v>286</v>
      </c>
      <c r="D33" s="3">
        <v>5</v>
      </c>
      <c r="E33" s="3">
        <v>1.57</v>
      </c>
      <c r="F33" s="3">
        <v>2.85</v>
      </c>
      <c r="G33" s="3" t="s">
        <v>292</v>
      </c>
      <c r="H33">
        <v>0.57000000000000006</v>
      </c>
      <c r="I33">
        <f>16/22</f>
        <v>0.72727272727272729</v>
      </c>
    </row>
    <row r="34" spans="1:9" x14ac:dyDescent="0.2">
      <c r="A34" s="2">
        <v>44744</v>
      </c>
      <c r="B34" s="3" t="s">
        <v>27</v>
      </c>
      <c r="C34" s="3" t="s">
        <v>286</v>
      </c>
      <c r="D34" s="3">
        <v>5</v>
      </c>
      <c r="E34" s="3">
        <v>1.66</v>
      </c>
      <c r="F34" s="3">
        <v>3.2999999999999901</v>
      </c>
      <c r="G34" s="3" t="s">
        <v>292</v>
      </c>
      <c r="H34">
        <v>0.65999999999999803</v>
      </c>
      <c r="I34">
        <f>10/19</f>
        <v>0.52631578947368418</v>
      </c>
    </row>
    <row r="35" spans="1:9" x14ac:dyDescent="0.2">
      <c r="A35" s="2">
        <v>44744</v>
      </c>
      <c r="B35" s="3" t="s">
        <v>18</v>
      </c>
      <c r="C35" s="3" t="s">
        <v>285</v>
      </c>
      <c r="D35" s="3">
        <v>5</v>
      </c>
      <c r="E35" s="3">
        <v>1.5</v>
      </c>
      <c r="F35" s="3">
        <v>2.5</v>
      </c>
      <c r="G35" s="3" t="s">
        <v>293</v>
      </c>
      <c r="H35">
        <v>-1</v>
      </c>
      <c r="I35">
        <v>0.60273972602739723</v>
      </c>
    </row>
    <row r="36" spans="1:9" x14ac:dyDescent="0.2">
      <c r="A36" s="2">
        <v>44745</v>
      </c>
      <c r="B36" s="3" t="s">
        <v>28</v>
      </c>
      <c r="C36" s="3" t="s">
        <v>285</v>
      </c>
      <c r="D36" s="3">
        <v>10</v>
      </c>
      <c r="E36" s="3">
        <v>2.37</v>
      </c>
      <c r="F36" s="3">
        <v>13.7</v>
      </c>
      <c r="G36" s="3" t="s">
        <v>293</v>
      </c>
      <c r="H36">
        <v>-1</v>
      </c>
      <c r="I36">
        <f>30/55</f>
        <v>0.54545454545454541</v>
      </c>
    </row>
    <row r="37" spans="1:9" x14ac:dyDescent="0.2">
      <c r="A37" s="2">
        <v>44745</v>
      </c>
      <c r="B37" s="3" t="s">
        <v>29</v>
      </c>
      <c r="C37" s="3" t="s">
        <v>285</v>
      </c>
      <c r="D37" s="3">
        <v>10</v>
      </c>
      <c r="E37" s="3">
        <v>1.61</v>
      </c>
      <c r="F37" s="3">
        <v>6.1</v>
      </c>
      <c r="G37" s="3" t="s">
        <v>292</v>
      </c>
      <c r="H37">
        <v>0.61</v>
      </c>
      <c r="I37">
        <f>2/5</f>
        <v>0.4</v>
      </c>
    </row>
    <row r="38" spans="1:9" x14ac:dyDescent="0.2">
      <c r="A38" s="2">
        <v>44745</v>
      </c>
      <c r="B38" s="3" t="s">
        <v>30</v>
      </c>
      <c r="C38" s="3" t="s">
        <v>285</v>
      </c>
      <c r="D38" s="3">
        <v>10</v>
      </c>
      <c r="E38" s="3">
        <v>1.5</v>
      </c>
      <c r="F38" s="3">
        <v>5</v>
      </c>
      <c r="G38" s="3" t="s">
        <v>292</v>
      </c>
      <c r="H38">
        <v>0.5</v>
      </c>
      <c r="I38">
        <f>8/14</f>
        <v>0.5714285714285714</v>
      </c>
    </row>
    <row r="39" spans="1:9" x14ac:dyDescent="0.2">
      <c r="A39" s="2">
        <v>44745</v>
      </c>
      <c r="B39" s="3" t="s">
        <v>31</v>
      </c>
      <c r="C39" s="3" t="s">
        <v>286</v>
      </c>
      <c r="D39" s="3">
        <v>10</v>
      </c>
      <c r="E39" s="3">
        <v>1.57</v>
      </c>
      <c r="F39" s="3">
        <v>5.7</v>
      </c>
      <c r="G39" s="3" t="s">
        <v>293</v>
      </c>
      <c r="H39">
        <v>-1</v>
      </c>
      <c r="I39">
        <f>15/34</f>
        <v>0.44117647058823528</v>
      </c>
    </row>
    <row r="40" spans="1:9" x14ac:dyDescent="0.2">
      <c r="A40" s="2">
        <v>44745</v>
      </c>
      <c r="B40" s="3" t="s">
        <v>32</v>
      </c>
      <c r="C40" s="3" t="s">
        <v>286</v>
      </c>
      <c r="D40" s="3">
        <v>10</v>
      </c>
      <c r="E40" s="3">
        <v>1.8</v>
      </c>
      <c r="F40" s="3">
        <v>8</v>
      </c>
      <c r="G40" s="3" t="s">
        <v>293</v>
      </c>
      <c r="H40">
        <v>-1</v>
      </c>
      <c r="I40">
        <f>41/62</f>
        <v>0.66129032258064513</v>
      </c>
    </row>
    <row r="41" spans="1:9" x14ac:dyDescent="0.2">
      <c r="A41" s="2">
        <v>44745</v>
      </c>
      <c r="B41" s="3" t="s">
        <v>33</v>
      </c>
      <c r="C41" s="3" t="s">
        <v>285</v>
      </c>
      <c r="D41" s="3">
        <v>10</v>
      </c>
      <c r="E41" s="3">
        <v>1.61</v>
      </c>
      <c r="F41" s="3">
        <v>6.1</v>
      </c>
      <c r="G41" s="3" t="s">
        <v>292</v>
      </c>
      <c r="H41">
        <v>0.61</v>
      </c>
      <c r="I41">
        <f>34/63</f>
        <v>0.53968253968253965</v>
      </c>
    </row>
    <row r="42" spans="1:9" x14ac:dyDescent="0.2">
      <c r="A42" s="2">
        <v>44745</v>
      </c>
      <c r="B42" s="3" t="s">
        <v>34</v>
      </c>
      <c r="C42" s="3" t="s">
        <v>286</v>
      </c>
      <c r="D42" s="3">
        <v>10</v>
      </c>
      <c r="E42" s="3">
        <v>1.9</v>
      </c>
      <c r="F42" s="3">
        <v>9</v>
      </c>
      <c r="G42" s="3" t="s">
        <v>293</v>
      </c>
      <c r="H42">
        <v>-1</v>
      </c>
      <c r="I42">
        <f>34/53</f>
        <v>0.64150943396226412</v>
      </c>
    </row>
    <row r="43" spans="1:9" x14ac:dyDescent="0.2">
      <c r="A43" s="2">
        <v>44745</v>
      </c>
      <c r="B43" s="3" t="s">
        <v>35</v>
      </c>
      <c r="C43" s="3" t="s">
        <v>285</v>
      </c>
      <c r="D43" s="3">
        <v>10</v>
      </c>
      <c r="E43" s="3">
        <v>1.83</v>
      </c>
      <c r="F43" s="3">
        <v>8.3000000000000007</v>
      </c>
      <c r="G43" s="3" t="s">
        <v>293</v>
      </c>
      <c r="H43">
        <v>-1</v>
      </c>
      <c r="I43">
        <f>54/91</f>
        <v>0.59340659340659341</v>
      </c>
    </row>
    <row r="44" spans="1:9" x14ac:dyDescent="0.2">
      <c r="A44" s="2">
        <v>44745</v>
      </c>
      <c r="B44" s="3" t="s">
        <v>36</v>
      </c>
      <c r="C44" s="3" t="s">
        <v>285</v>
      </c>
      <c r="D44" s="3">
        <v>10</v>
      </c>
      <c r="E44" s="3">
        <v>1.5</v>
      </c>
      <c r="F44" s="3">
        <v>5</v>
      </c>
      <c r="G44" s="3" t="s">
        <v>292</v>
      </c>
      <c r="H44">
        <v>0.5</v>
      </c>
      <c r="I44">
        <f>52/80</f>
        <v>0.65</v>
      </c>
    </row>
    <row r="45" spans="1:9" x14ac:dyDescent="0.2">
      <c r="A45" s="2">
        <v>44745</v>
      </c>
      <c r="B45" s="3" t="s">
        <v>302</v>
      </c>
      <c r="C45" s="3" t="s">
        <v>285</v>
      </c>
      <c r="D45" s="3">
        <v>10</v>
      </c>
      <c r="E45" s="3">
        <v>1.44</v>
      </c>
      <c r="F45" s="3">
        <v>4.3999999999999897</v>
      </c>
      <c r="G45" s="3" t="s">
        <v>293</v>
      </c>
      <c r="H45">
        <v>-1</v>
      </c>
      <c r="I45">
        <f>14/26</f>
        <v>0.53846153846153844</v>
      </c>
    </row>
    <row r="46" spans="1:9" x14ac:dyDescent="0.2">
      <c r="A46" s="2">
        <v>44746</v>
      </c>
      <c r="B46" s="3" t="s">
        <v>37</v>
      </c>
      <c r="C46" s="3" t="s">
        <v>286</v>
      </c>
      <c r="D46" s="3">
        <v>10</v>
      </c>
      <c r="E46" s="3">
        <v>1.9</v>
      </c>
      <c r="F46" s="3">
        <v>9</v>
      </c>
      <c r="G46" s="3" t="s">
        <v>292</v>
      </c>
      <c r="H46">
        <v>0.9</v>
      </c>
      <c r="I46">
        <f>31/60</f>
        <v>0.51666666666666672</v>
      </c>
    </row>
    <row r="47" spans="1:9" x14ac:dyDescent="0.2">
      <c r="A47" s="2">
        <v>44746</v>
      </c>
      <c r="B47" s="3" t="s">
        <v>38</v>
      </c>
      <c r="C47" s="3" t="s">
        <v>286</v>
      </c>
      <c r="D47" s="3">
        <v>10</v>
      </c>
      <c r="E47" s="3">
        <v>2</v>
      </c>
      <c r="F47" s="3">
        <v>10</v>
      </c>
      <c r="G47" s="3" t="s">
        <v>292</v>
      </c>
      <c r="H47">
        <v>1</v>
      </c>
      <c r="I47">
        <f>23/48</f>
        <v>0.47916666666666669</v>
      </c>
    </row>
    <row r="48" spans="1:9" x14ac:dyDescent="0.2">
      <c r="A48" s="2">
        <v>44746</v>
      </c>
      <c r="B48" s="3" t="s">
        <v>39</v>
      </c>
      <c r="C48" s="3" t="s">
        <v>285</v>
      </c>
      <c r="D48" s="3">
        <v>10</v>
      </c>
      <c r="E48" s="3">
        <v>1.8</v>
      </c>
      <c r="F48" s="3">
        <v>8</v>
      </c>
      <c r="G48" s="3" t="s">
        <v>292</v>
      </c>
      <c r="H48">
        <v>0.8</v>
      </c>
      <c r="I48">
        <f>30/61</f>
        <v>0.49180327868852458</v>
      </c>
    </row>
    <row r="49" spans="1:9" x14ac:dyDescent="0.2">
      <c r="A49" s="2">
        <v>44746</v>
      </c>
      <c r="B49" s="3" t="s">
        <v>40</v>
      </c>
      <c r="C49" s="3" t="s">
        <v>285</v>
      </c>
      <c r="D49" s="3">
        <v>10</v>
      </c>
      <c r="E49" s="3">
        <v>1.8</v>
      </c>
      <c r="F49" s="3">
        <v>8</v>
      </c>
      <c r="G49" s="3" t="s">
        <v>292</v>
      </c>
      <c r="H49">
        <v>0.8</v>
      </c>
      <c r="I49">
        <f>49/77</f>
        <v>0.63636363636363635</v>
      </c>
    </row>
    <row r="50" spans="1:9" x14ac:dyDescent="0.2">
      <c r="A50" s="2">
        <v>44746</v>
      </c>
      <c r="B50" s="3" t="s">
        <v>41</v>
      </c>
      <c r="C50" s="3" t="s">
        <v>285</v>
      </c>
      <c r="D50" s="3">
        <v>5</v>
      </c>
      <c r="E50" s="3">
        <v>2.2000000000000002</v>
      </c>
      <c r="F50" s="3">
        <v>6</v>
      </c>
      <c r="G50" s="3" t="s">
        <v>293</v>
      </c>
      <c r="H50">
        <v>-1</v>
      </c>
      <c r="I50">
        <f>17/35</f>
        <v>0.48571428571428571</v>
      </c>
    </row>
    <row r="51" spans="1:9" x14ac:dyDescent="0.2">
      <c r="A51" s="2">
        <v>44746</v>
      </c>
      <c r="B51" s="3" t="s">
        <v>42</v>
      </c>
      <c r="C51" s="3" t="s">
        <v>285</v>
      </c>
      <c r="D51" s="3">
        <v>5</v>
      </c>
      <c r="E51" s="3">
        <v>3</v>
      </c>
      <c r="F51" s="3">
        <v>10</v>
      </c>
      <c r="G51" s="3" t="s">
        <v>292</v>
      </c>
      <c r="H51">
        <v>2</v>
      </c>
      <c r="I51">
        <f>18/41</f>
        <v>0.43902439024390244</v>
      </c>
    </row>
    <row r="52" spans="1:9" x14ac:dyDescent="0.2">
      <c r="A52" s="2">
        <v>44746</v>
      </c>
      <c r="B52" s="3" t="s">
        <v>43</v>
      </c>
      <c r="C52" s="3" t="s">
        <v>285</v>
      </c>
      <c r="D52" s="3">
        <v>5</v>
      </c>
      <c r="E52" s="3">
        <v>1.66</v>
      </c>
      <c r="F52" s="3">
        <v>3.2999999999999901</v>
      </c>
      <c r="G52" s="3" t="s">
        <v>292</v>
      </c>
      <c r="H52">
        <v>0.65999999999999803</v>
      </c>
      <c r="I52">
        <f>37/50</f>
        <v>0.74</v>
      </c>
    </row>
    <row r="53" spans="1:9" x14ac:dyDescent="0.2">
      <c r="A53" s="2">
        <v>44746</v>
      </c>
      <c r="B53" s="3" t="s">
        <v>44</v>
      </c>
      <c r="C53" s="3" t="s">
        <v>285</v>
      </c>
      <c r="D53" s="3">
        <v>5</v>
      </c>
      <c r="E53" s="3">
        <v>1.57</v>
      </c>
      <c r="F53" s="3">
        <v>2.85</v>
      </c>
      <c r="G53" s="3" t="s">
        <v>292</v>
      </c>
      <c r="H53">
        <v>0.57000000000000006</v>
      </c>
      <c r="I53">
        <f>43/77</f>
        <v>0.55844155844155841</v>
      </c>
    </row>
    <row r="54" spans="1:9" x14ac:dyDescent="0.2">
      <c r="A54" s="2">
        <v>44747</v>
      </c>
      <c r="B54" s="3" t="s">
        <v>45</v>
      </c>
      <c r="C54" s="3" t="s">
        <v>285</v>
      </c>
      <c r="D54" s="3">
        <v>10</v>
      </c>
      <c r="E54" s="3">
        <v>1.8</v>
      </c>
      <c r="F54" s="3">
        <v>8</v>
      </c>
      <c r="G54" s="3" t="s">
        <v>292</v>
      </c>
      <c r="H54">
        <v>0.8</v>
      </c>
      <c r="I54">
        <f>51/76</f>
        <v>0.67105263157894735</v>
      </c>
    </row>
    <row r="55" spans="1:9" x14ac:dyDescent="0.2">
      <c r="A55" s="2">
        <v>44747</v>
      </c>
      <c r="B55" s="3" t="s">
        <v>19</v>
      </c>
      <c r="C55" s="3" t="s">
        <v>285</v>
      </c>
      <c r="D55" s="3">
        <v>10</v>
      </c>
      <c r="E55" s="3">
        <v>1.7</v>
      </c>
      <c r="F55" s="3">
        <v>7</v>
      </c>
      <c r="G55" s="3" t="s">
        <v>292</v>
      </c>
      <c r="H55">
        <v>0.7</v>
      </c>
      <c r="I55">
        <v>0.47457627118644069</v>
      </c>
    </row>
    <row r="56" spans="1:9" x14ac:dyDescent="0.2">
      <c r="A56" s="2">
        <v>44747</v>
      </c>
      <c r="B56" s="3" t="s">
        <v>46</v>
      </c>
      <c r="C56" s="3" t="s">
        <v>286</v>
      </c>
      <c r="D56" s="3">
        <v>10</v>
      </c>
      <c r="E56" s="3">
        <v>1.8</v>
      </c>
      <c r="F56" s="3">
        <v>8</v>
      </c>
      <c r="G56" s="3" t="s">
        <v>293</v>
      </c>
      <c r="H56">
        <v>-1</v>
      </c>
      <c r="I56">
        <f>22/45</f>
        <v>0.48888888888888887</v>
      </c>
    </row>
    <row r="57" spans="1:9" x14ac:dyDescent="0.2">
      <c r="A57" s="2">
        <v>44747</v>
      </c>
      <c r="B57" s="3" t="s">
        <v>47</v>
      </c>
      <c r="C57" s="3" t="s">
        <v>285</v>
      </c>
      <c r="D57" s="3">
        <v>10</v>
      </c>
      <c r="E57" s="3">
        <v>2.5</v>
      </c>
      <c r="F57" s="3">
        <v>15</v>
      </c>
      <c r="G57" s="3" t="s">
        <v>292</v>
      </c>
      <c r="H57">
        <v>1.5</v>
      </c>
      <c r="I57">
        <f>20/56</f>
        <v>0.35714285714285715</v>
      </c>
    </row>
    <row r="58" spans="1:9" x14ac:dyDescent="0.2">
      <c r="A58" s="2">
        <v>44747</v>
      </c>
      <c r="B58" s="3" t="s">
        <v>48</v>
      </c>
      <c r="C58" s="3" t="s">
        <v>286</v>
      </c>
      <c r="D58" s="3">
        <v>10</v>
      </c>
      <c r="E58" s="3">
        <v>1.8</v>
      </c>
      <c r="F58" s="3">
        <v>8</v>
      </c>
      <c r="G58" s="3" t="s">
        <v>292</v>
      </c>
      <c r="H58">
        <v>0.8</v>
      </c>
      <c r="I58">
        <f>19/42</f>
        <v>0.45238095238095238</v>
      </c>
    </row>
    <row r="59" spans="1:9" x14ac:dyDescent="0.2">
      <c r="A59" s="2">
        <v>44747</v>
      </c>
      <c r="B59" s="3" t="s">
        <v>49</v>
      </c>
      <c r="C59" s="3" t="s">
        <v>285</v>
      </c>
      <c r="D59" s="3">
        <v>10</v>
      </c>
      <c r="E59" s="3">
        <v>2.1</v>
      </c>
      <c r="F59" s="3">
        <v>11</v>
      </c>
      <c r="G59" s="3" t="s">
        <v>293</v>
      </c>
      <c r="H59">
        <v>-1</v>
      </c>
      <c r="I59">
        <f>25/49</f>
        <v>0.51020408163265307</v>
      </c>
    </row>
    <row r="60" spans="1:9" x14ac:dyDescent="0.2">
      <c r="A60" s="2">
        <v>44747</v>
      </c>
      <c r="B60" s="3" t="s">
        <v>50</v>
      </c>
      <c r="C60" s="3" t="s">
        <v>286</v>
      </c>
      <c r="D60" s="3">
        <v>5</v>
      </c>
      <c r="E60" s="3">
        <v>1.72</v>
      </c>
      <c r="F60" s="3">
        <v>3.5999999999999899</v>
      </c>
      <c r="G60" s="3" t="s">
        <v>292</v>
      </c>
      <c r="H60">
        <v>0.71999999999999797</v>
      </c>
      <c r="I60">
        <f>30/55</f>
        <v>0.54545454545454541</v>
      </c>
    </row>
    <row r="61" spans="1:9" x14ac:dyDescent="0.2">
      <c r="A61" s="2">
        <v>44747</v>
      </c>
      <c r="B61" s="3" t="s">
        <v>51</v>
      </c>
      <c r="C61" s="3" t="s">
        <v>286</v>
      </c>
      <c r="D61" s="3">
        <v>5</v>
      </c>
      <c r="E61" s="3">
        <v>4.5</v>
      </c>
      <c r="F61" s="3">
        <v>17.5</v>
      </c>
      <c r="G61" s="3" t="s">
        <v>292</v>
      </c>
      <c r="H61">
        <v>3.5</v>
      </c>
      <c r="I61">
        <f>50/80</f>
        <v>0.625</v>
      </c>
    </row>
    <row r="62" spans="1:9" x14ac:dyDescent="0.2">
      <c r="A62" s="2">
        <v>44747</v>
      </c>
      <c r="B62" s="3" t="s">
        <v>52</v>
      </c>
      <c r="C62" s="3" t="s">
        <v>285</v>
      </c>
      <c r="D62" s="3">
        <v>5</v>
      </c>
      <c r="E62" s="3">
        <v>2.2000000000000002</v>
      </c>
      <c r="F62" s="3">
        <v>6</v>
      </c>
      <c r="G62" s="3" t="s">
        <v>292</v>
      </c>
      <c r="H62">
        <v>1.2</v>
      </c>
      <c r="I62">
        <f>44/52</f>
        <v>0.84615384615384615</v>
      </c>
    </row>
    <row r="63" spans="1:9" x14ac:dyDescent="0.2">
      <c r="A63" s="2">
        <v>44747</v>
      </c>
      <c r="B63" s="3" t="s">
        <v>36</v>
      </c>
      <c r="C63" s="3" t="s">
        <v>285</v>
      </c>
      <c r="D63" s="3">
        <v>5</v>
      </c>
      <c r="E63" s="3">
        <v>1.44</v>
      </c>
      <c r="F63" s="3">
        <v>2.19999999999999</v>
      </c>
      <c r="G63" s="3" t="s">
        <v>292</v>
      </c>
      <c r="H63">
        <v>0.439999999999998</v>
      </c>
      <c r="I63">
        <v>0.65</v>
      </c>
    </row>
    <row r="64" spans="1:9" x14ac:dyDescent="0.2">
      <c r="A64" s="2">
        <v>44747</v>
      </c>
      <c r="B64" s="3" t="s">
        <v>53</v>
      </c>
      <c r="C64" s="3" t="s">
        <v>285</v>
      </c>
      <c r="D64" s="3">
        <v>5</v>
      </c>
      <c r="E64" s="3">
        <v>1.66</v>
      </c>
      <c r="F64" s="3">
        <v>3.2999999999999901</v>
      </c>
      <c r="G64" s="3" t="s">
        <v>292</v>
      </c>
      <c r="H64">
        <v>0.65999999999999803</v>
      </c>
      <c r="I64">
        <f>43/77</f>
        <v>0.55844155844155841</v>
      </c>
    </row>
    <row r="65" spans="1:9" x14ac:dyDescent="0.2">
      <c r="A65" s="2">
        <v>44747</v>
      </c>
      <c r="B65" s="3" t="s">
        <v>54</v>
      </c>
      <c r="C65" s="3" t="s">
        <v>285</v>
      </c>
      <c r="D65" s="3">
        <v>5</v>
      </c>
      <c r="E65" s="3">
        <v>1.5</v>
      </c>
      <c r="F65" s="3">
        <v>2.5</v>
      </c>
      <c r="G65" s="3" t="s">
        <v>292</v>
      </c>
      <c r="H65">
        <v>0.5</v>
      </c>
      <c r="I65">
        <f>43/73</f>
        <v>0.58904109589041098</v>
      </c>
    </row>
    <row r="66" spans="1:9" x14ac:dyDescent="0.2">
      <c r="A66" s="2">
        <v>44747</v>
      </c>
      <c r="B66" s="3" t="s">
        <v>55</v>
      </c>
      <c r="C66" s="3" t="s">
        <v>285</v>
      </c>
      <c r="D66" s="3">
        <v>5</v>
      </c>
      <c r="E66" s="3">
        <v>1.75</v>
      </c>
      <c r="F66" s="3">
        <v>3.75</v>
      </c>
      <c r="G66" s="3" t="s">
        <v>292</v>
      </c>
      <c r="H66">
        <v>0.75</v>
      </c>
      <c r="I66">
        <f>40/70</f>
        <v>0.5714285714285714</v>
      </c>
    </row>
    <row r="67" spans="1:9" x14ac:dyDescent="0.2">
      <c r="A67" s="2">
        <v>44748</v>
      </c>
      <c r="B67" s="3" t="s">
        <v>56</v>
      </c>
      <c r="C67" s="3" t="s">
        <v>285</v>
      </c>
      <c r="D67" s="3">
        <v>10</v>
      </c>
      <c r="E67" s="3">
        <v>1.72</v>
      </c>
      <c r="F67" s="3">
        <v>7.1999999999999904</v>
      </c>
      <c r="G67" s="3" t="s">
        <v>293</v>
      </c>
      <c r="H67">
        <v>-1</v>
      </c>
      <c r="I67">
        <f>23/52</f>
        <v>0.44230769230769229</v>
      </c>
    </row>
    <row r="68" spans="1:9" x14ac:dyDescent="0.2">
      <c r="A68" s="2">
        <v>44748</v>
      </c>
      <c r="B68" s="3" t="s">
        <v>57</v>
      </c>
      <c r="C68" s="3" t="s">
        <v>286</v>
      </c>
      <c r="D68" s="3">
        <v>10</v>
      </c>
      <c r="E68" s="3">
        <v>2</v>
      </c>
      <c r="F68" s="3">
        <v>10</v>
      </c>
      <c r="G68" s="3" t="s">
        <v>293</v>
      </c>
      <c r="H68">
        <v>-1</v>
      </c>
      <c r="I68">
        <f>19/33</f>
        <v>0.5757575757575758</v>
      </c>
    </row>
    <row r="69" spans="1:9" x14ac:dyDescent="0.2">
      <c r="A69" s="2">
        <v>44748</v>
      </c>
      <c r="B69" s="3" t="s">
        <v>58</v>
      </c>
      <c r="C69" s="3" t="s">
        <v>285</v>
      </c>
      <c r="D69" s="3">
        <v>10</v>
      </c>
      <c r="E69" s="3">
        <v>1.8</v>
      </c>
      <c r="F69" s="3">
        <v>8</v>
      </c>
      <c r="G69" s="3" t="s">
        <v>292</v>
      </c>
      <c r="H69">
        <v>0.8</v>
      </c>
      <c r="I69">
        <f>43/72</f>
        <v>0.59722222222222221</v>
      </c>
    </row>
    <row r="70" spans="1:9" x14ac:dyDescent="0.2">
      <c r="A70" s="2">
        <v>44748</v>
      </c>
      <c r="B70" s="3" t="s">
        <v>59</v>
      </c>
      <c r="C70" s="3" t="s">
        <v>286</v>
      </c>
      <c r="D70" s="3">
        <v>10</v>
      </c>
      <c r="E70" s="3">
        <v>1.83</v>
      </c>
      <c r="F70" s="3">
        <v>8.3000000000000007</v>
      </c>
      <c r="G70" s="3" t="s">
        <v>293</v>
      </c>
      <c r="H70">
        <v>-1</v>
      </c>
      <c r="I70">
        <f>50/81</f>
        <v>0.61728395061728392</v>
      </c>
    </row>
    <row r="71" spans="1:9" x14ac:dyDescent="0.2">
      <c r="A71" s="2">
        <v>44748</v>
      </c>
      <c r="B71" s="3" t="s">
        <v>61</v>
      </c>
      <c r="C71" s="3" t="s">
        <v>286</v>
      </c>
      <c r="D71" s="3">
        <v>10</v>
      </c>
      <c r="E71" s="3">
        <v>1.4</v>
      </c>
      <c r="F71" s="3">
        <v>4</v>
      </c>
      <c r="G71" s="3" t="s">
        <v>292</v>
      </c>
      <c r="H71">
        <v>0.4</v>
      </c>
      <c r="I71">
        <f>19/43</f>
        <v>0.44186046511627908</v>
      </c>
    </row>
    <row r="72" spans="1:9" x14ac:dyDescent="0.2">
      <c r="A72" s="2">
        <v>44748</v>
      </c>
      <c r="B72" s="3" t="s">
        <v>62</v>
      </c>
      <c r="C72" s="3" t="s">
        <v>286</v>
      </c>
      <c r="D72" s="3">
        <v>10</v>
      </c>
      <c r="E72" s="3">
        <v>1.5</v>
      </c>
      <c r="F72" s="3">
        <v>5</v>
      </c>
      <c r="G72" s="3" t="s">
        <v>293</v>
      </c>
      <c r="H72">
        <v>-1</v>
      </c>
      <c r="I72">
        <f>28/53</f>
        <v>0.52830188679245282</v>
      </c>
    </row>
    <row r="73" spans="1:9" x14ac:dyDescent="0.2">
      <c r="A73" s="2">
        <v>44748</v>
      </c>
      <c r="B73" s="3" t="s">
        <v>63</v>
      </c>
      <c r="C73" s="3" t="s">
        <v>285</v>
      </c>
      <c r="D73" s="3">
        <v>10</v>
      </c>
      <c r="E73" s="3">
        <v>2.5</v>
      </c>
      <c r="F73" s="3">
        <v>15</v>
      </c>
      <c r="G73" s="3" t="s">
        <v>292</v>
      </c>
      <c r="H73">
        <v>1.5</v>
      </c>
      <c r="I73">
        <f>42/66</f>
        <v>0.63636363636363635</v>
      </c>
    </row>
    <row r="74" spans="1:9" x14ac:dyDescent="0.2">
      <c r="A74" s="2">
        <v>44748</v>
      </c>
      <c r="B74" s="3" t="s">
        <v>64</v>
      </c>
      <c r="C74" s="3" t="s">
        <v>285</v>
      </c>
      <c r="D74" s="3">
        <v>10</v>
      </c>
      <c r="E74" s="3">
        <v>1.8</v>
      </c>
      <c r="F74" s="3">
        <v>8</v>
      </c>
      <c r="G74" s="3" t="s">
        <v>292</v>
      </c>
      <c r="H74">
        <v>0.8</v>
      </c>
      <c r="I74">
        <f>17/35</f>
        <v>0.48571428571428571</v>
      </c>
    </row>
    <row r="75" spans="1:9" x14ac:dyDescent="0.2">
      <c r="A75" s="2">
        <v>44748</v>
      </c>
      <c r="B75" s="3" t="s">
        <v>65</v>
      </c>
      <c r="C75" s="3" t="s">
        <v>286</v>
      </c>
      <c r="D75" s="3">
        <v>10</v>
      </c>
      <c r="E75" s="3">
        <v>1.8</v>
      </c>
      <c r="F75" s="3">
        <v>8</v>
      </c>
      <c r="G75" s="3" t="s">
        <v>293</v>
      </c>
      <c r="H75">
        <v>-1</v>
      </c>
      <c r="I75">
        <f>20/48</f>
        <v>0.41666666666666669</v>
      </c>
    </row>
    <row r="76" spans="1:9" x14ac:dyDescent="0.2">
      <c r="A76" s="2">
        <v>44748</v>
      </c>
      <c r="B76" s="3" t="s">
        <v>66</v>
      </c>
      <c r="C76" s="3" t="s">
        <v>285</v>
      </c>
      <c r="D76" s="3">
        <v>10</v>
      </c>
      <c r="E76" s="3">
        <v>2.2000000000000002</v>
      </c>
      <c r="F76" s="3">
        <v>12</v>
      </c>
      <c r="G76" s="3" t="s">
        <v>292</v>
      </c>
      <c r="H76">
        <v>1.2</v>
      </c>
      <c r="I76">
        <f>43/66</f>
        <v>0.65151515151515149</v>
      </c>
    </row>
    <row r="77" spans="1:9" x14ac:dyDescent="0.2">
      <c r="A77" s="2">
        <v>44748</v>
      </c>
      <c r="B77" s="3" t="s">
        <v>67</v>
      </c>
      <c r="C77" s="3" t="s">
        <v>285</v>
      </c>
      <c r="D77" s="3">
        <v>10</v>
      </c>
      <c r="E77" s="3">
        <v>1.8</v>
      </c>
      <c r="F77" s="3">
        <v>8</v>
      </c>
      <c r="G77" s="3" t="s">
        <v>292</v>
      </c>
      <c r="H77">
        <v>0.8</v>
      </c>
      <c r="I77">
        <f>40/49</f>
        <v>0.81632653061224492</v>
      </c>
    </row>
    <row r="78" spans="1:9" x14ac:dyDescent="0.2">
      <c r="A78" s="2">
        <v>44749</v>
      </c>
      <c r="B78" s="3" t="s">
        <v>68</v>
      </c>
      <c r="C78" s="3" t="s">
        <v>285</v>
      </c>
      <c r="D78" s="3">
        <v>10</v>
      </c>
      <c r="E78" s="3">
        <v>1.53</v>
      </c>
      <c r="F78" s="3">
        <v>5.3</v>
      </c>
      <c r="G78" s="3" t="s">
        <v>292</v>
      </c>
      <c r="H78">
        <v>0.53</v>
      </c>
      <c r="I78">
        <f>56/83</f>
        <v>0.67469879518072284</v>
      </c>
    </row>
    <row r="79" spans="1:9" x14ac:dyDescent="0.2">
      <c r="A79" s="2">
        <v>44749</v>
      </c>
      <c r="B79" s="3" t="s">
        <v>66</v>
      </c>
      <c r="C79" s="3" t="s">
        <v>285</v>
      </c>
      <c r="D79" s="3">
        <v>10</v>
      </c>
      <c r="E79" s="3">
        <v>2.2000000000000002</v>
      </c>
      <c r="F79" s="3">
        <v>12</v>
      </c>
      <c r="G79" s="3" t="s">
        <v>293</v>
      </c>
      <c r="H79">
        <v>-1</v>
      </c>
      <c r="I79">
        <v>0.65151515151515149</v>
      </c>
    </row>
    <row r="80" spans="1:9" x14ac:dyDescent="0.2">
      <c r="A80" s="2">
        <v>44749</v>
      </c>
      <c r="B80" s="3" t="s">
        <v>69</v>
      </c>
      <c r="C80" s="3" t="s">
        <v>285</v>
      </c>
      <c r="D80" s="3">
        <v>10</v>
      </c>
      <c r="E80" s="3">
        <v>2</v>
      </c>
      <c r="F80" s="3">
        <v>10</v>
      </c>
      <c r="G80" s="3" t="s">
        <v>292</v>
      </c>
      <c r="H80">
        <v>1</v>
      </c>
      <c r="I80">
        <f>47/74</f>
        <v>0.63513513513513509</v>
      </c>
    </row>
    <row r="81" spans="1:9" x14ac:dyDescent="0.2">
      <c r="A81" s="2">
        <v>44749</v>
      </c>
      <c r="B81" s="3" t="s">
        <v>70</v>
      </c>
      <c r="C81" s="3" t="s">
        <v>286</v>
      </c>
      <c r="D81" s="3">
        <v>10</v>
      </c>
      <c r="E81" s="3">
        <v>1.61</v>
      </c>
      <c r="F81" s="3">
        <v>6.1</v>
      </c>
      <c r="G81" s="3" t="s">
        <v>293</v>
      </c>
      <c r="H81">
        <v>-1</v>
      </c>
      <c r="I81">
        <f>36/47</f>
        <v>0.76595744680851063</v>
      </c>
    </row>
    <row r="82" spans="1:9" x14ac:dyDescent="0.2">
      <c r="A82" s="2">
        <v>44749</v>
      </c>
      <c r="B82" s="3" t="s">
        <v>53</v>
      </c>
      <c r="C82" s="3" t="s">
        <v>285</v>
      </c>
      <c r="D82" s="3">
        <v>10</v>
      </c>
      <c r="E82" s="3">
        <v>1.61</v>
      </c>
      <c r="F82" s="3">
        <v>6.1</v>
      </c>
      <c r="G82" s="3" t="s">
        <v>293</v>
      </c>
      <c r="H82">
        <v>-1</v>
      </c>
      <c r="I82">
        <v>0.55844155844155841</v>
      </c>
    </row>
    <row r="83" spans="1:9" x14ac:dyDescent="0.2">
      <c r="A83" s="2">
        <v>44749</v>
      </c>
      <c r="B83" s="3" t="s">
        <v>71</v>
      </c>
      <c r="C83" s="3" t="s">
        <v>285</v>
      </c>
      <c r="D83" s="3">
        <v>10</v>
      </c>
      <c r="E83" s="3">
        <v>1.61</v>
      </c>
      <c r="F83" s="3">
        <v>6.1</v>
      </c>
      <c r="G83" s="3" t="s">
        <v>293</v>
      </c>
      <c r="H83">
        <v>-1</v>
      </c>
      <c r="I83">
        <f>47/80</f>
        <v>0.58750000000000002</v>
      </c>
    </row>
    <row r="84" spans="1:9" x14ac:dyDescent="0.2">
      <c r="A84" s="2">
        <v>44749</v>
      </c>
      <c r="B84" s="3" t="s">
        <v>72</v>
      </c>
      <c r="C84" s="3" t="s">
        <v>285</v>
      </c>
      <c r="D84" s="3">
        <v>10</v>
      </c>
      <c r="E84" s="3">
        <v>1.72</v>
      </c>
      <c r="F84" s="3">
        <v>7.1999999999999904</v>
      </c>
      <c r="G84" s="3" t="s">
        <v>293</v>
      </c>
      <c r="H84">
        <v>-1</v>
      </c>
      <c r="I84">
        <f>49/85</f>
        <v>0.57647058823529407</v>
      </c>
    </row>
    <row r="85" spans="1:9" x14ac:dyDescent="0.2">
      <c r="A85" s="2">
        <v>44749</v>
      </c>
      <c r="B85" s="3" t="s">
        <v>73</v>
      </c>
      <c r="C85" s="3" t="s">
        <v>286</v>
      </c>
      <c r="D85" s="3">
        <v>10</v>
      </c>
      <c r="E85" s="3">
        <v>1.5</v>
      </c>
      <c r="F85" s="3">
        <v>5</v>
      </c>
      <c r="G85" s="3" t="s">
        <v>292</v>
      </c>
      <c r="H85">
        <v>0.5</v>
      </c>
      <c r="I85">
        <f>11/21</f>
        <v>0.52380952380952384</v>
      </c>
    </row>
    <row r="86" spans="1:9" x14ac:dyDescent="0.2">
      <c r="A86" s="2">
        <v>44750</v>
      </c>
      <c r="B86" s="3" t="s">
        <v>74</v>
      </c>
      <c r="C86" s="3" t="s">
        <v>285</v>
      </c>
      <c r="D86" s="3">
        <v>10</v>
      </c>
      <c r="E86" s="3">
        <v>1.8</v>
      </c>
      <c r="F86" s="3">
        <v>8</v>
      </c>
      <c r="G86" s="3" t="s">
        <v>293</v>
      </c>
      <c r="H86">
        <v>-1</v>
      </c>
      <c r="I86">
        <f>27/66</f>
        <v>0.40909090909090912</v>
      </c>
    </row>
    <row r="87" spans="1:9" x14ac:dyDescent="0.2">
      <c r="A87" s="2">
        <v>44750</v>
      </c>
      <c r="B87" s="3" t="s">
        <v>75</v>
      </c>
      <c r="C87" s="3" t="s">
        <v>285</v>
      </c>
      <c r="D87" s="3">
        <v>10</v>
      </c>
      <c r="E87" s="3">
        <v>2.0499999999999998</v>
      </c>
      <c r="F87" s="3">
        <v>10.5</v>
      </c>
      <c r="G87" s="3" t="s">
        <v>292</v>
      </c>
      <c r="H87">
        <v>1.05</v>
      </c>
      <c r="I87">
        <f>30/64</f>
        <v>0.46875</v>
      </c>
    </row>
    <row r="88" spans="1:9" x14ac:dyDescent="0.2">
      <c r="A88" s="2">
        <v>44750</v>
      </c>
      <c r="B88" s="3" t="s">
        <v>76</v>
      </c>
      <c r="C88" s="3" t="s">
        <v>285</v>
      </c>
      <c r="D88" s="3">
        <v>10</v>
      </c>
      <c r="E88" s="3">
        <v>2.2000000000000002</v>
      </c>
      <c r="F88" s="3">
        <v>12</v>
      </c>
      <c r="G88" s="3" t="s">
        <v>293</v>
      </c>
      <c r="H88">
        <v>-1</v>
      </c>
      <c r="I88">
        <f>24/55</f>
        <v>0.43636363636363634</v>
      </c>
    </row>
    <row r="89" spans="1:9" x14ac:dyDescent="0.2">
      <c r="A89" s="2">
        <v>44750</v>
      </c>
      <c r="B89" s="3" t="s">
        <v>77</v>
      </c>
      <c r="C89" s="3" t="s">
        <v>285</v>
      </c>
      <c r="D89" s="3">
        <v>10</v>
      </c>
      <c r="E89" s="3">
        <v>1.66</v>
      </c>
      <c r="F89" s="3">
        <v>6.5999999999999899</v>
      </c>
      <c r="G89" s="3" t="s">
        <v>292</v>
      </c>
      <c r="H89">
        <v>0.65999999999999903</v>
      </c>
      <c r="I89">
        <f>48/74</f>
        <v>0.64864864864864868</v>
      </c>
    </row>
    <row r="90" spans="1:9" x14ac:dyDescent="0.2">
      <c r="A90" s="2">
        <v>44750</v>
      </c>
      <c r="B90" s="3" t="s">
        <v>78</v>
      </c>
      <c r="C90" s="3" t="s">
        <v>285</v>
      </c>
      <c r="D90" s="3">
        <v>10</v>
      </c>
      <c r="E90" s="3">
        <v>1.75</v>
      </c>
      <c r="F90" s="3">
        <v>7.5</v>
      </c>
      <c r="G90" s="3" t="s">
        <v>293</v>
      </c>
      <c r="H90">
        <v>-1</v>
      </c>
      <c r="I90">
        <f>9/17</f>
        <v>0.52941176470588236</v>
      </c>
    </row>
    <row r="91" spans="1:9" x14ac:dyDescent="0.2">
      <c r="A91" s="2">
        <v>44750</v>
      </c>
      <c r="B91" s="3" t="s">
        <v>79</v>
      </c>
      <c r="C91" s="3" t="s">
        <v>285</v>
      </c>
      <c r="D91" s="3">
        <v>10</v>
      </c>
      <c r="E91" s="3">
        <v>1.61</v>
      </c>
      <c r="F91" s="3">
        <v>6.1</v>
      </c>
      <c r="G91" s="3" t="s">
        <v>293</v>
      </c>
      <c r="H91">
        <v>-1</v>
      </c>
      <c r="I91">
        <f>54/86</f>
        <v>0.62790697674418605</v>
      </c>
    </row>
    <row r="92" spans="1:9" x14ac:dyDescent="0.2">
      <c r="A92" s="2">
        <v>44750</v>
      </c>
      <c r="B92" s="3" t="s">
        <v>80</v>
      </c>
      <c r="C92" s="3" t="s">
        <v>286</v>
      </c>
      <c r="D92" s="3">
        <v>10</v>
      </c>
      <c r="E92" s="3">
        <v>2.37</v>
      </c>
      <c r="F92" s="3">
        <v>13.7</v>
      </c>
      <c r="G92" s="3" t="s">
        <v>293</v>
      </c>
      <c r="H92">
        <v>-1</v>
      </c>
      <c r="I92">
        <f>37/55</f>
        <v>0.67272727272727273</v>
      </c>
    </row>
    <row r="93" spans="1:9" x14ac:dyDescent="0.2">
      <c r="A93" s="2">
        <v>44750</v>
      </c>
      <c r="B93" s="3" t="s">
        <v>81</v>
      </c>
      <c r="C93" s="3" t="s">
        <v>286</v>
      </c>
      <c r="D93" s="3">
        <v>10</v>
      </c>
      <c r="E93" s="3">
        <v>1.65</v>
      </c>
      <c r="F93" s="3">
        <v>6.5</v>
      </c>
      <c r="G93" s="3" t="s">
        <v>292</v>
      </c>
      <c r="H93">
        <v>0.65</v>
      </c>
      <c r="I93">
        <f>34/59</f>
        <v>0.57627118644067798</v>
      </c>
    </row>
    <row r="94" spans="1:9" x14ac:dyDescent="0.2">
      <c r="A94" s="2">
        <v>44750</v>
      </c>
      <c r="B94" s="3" t="s">
        <v>82</v>
      </c>
      <c r="C94" s="3" t="s">
        <v>286</v>
      </c>
      <c r="D94" s="3">
        <v>10</v>
      </c>
      <c r="E94" s="3">
        <v>1.95</v>
      </c>
      <c r="F94" s="3">
        <v>9.5</v>
      </c>
      <c r="G94" s="3" t="s">
        <v>293</v>
      </c>
      <c r="H94">
        <v>-1</v>
      </c>
      <c r="I94">
        <f>25/34</f>
        <v>0.73529411764705888</v>
      </c>
    </row>
    <row r="95" spans="1:9" x14ac:dyDescent="0.2">
      <c r="A95" s="2">
        <v>44751</v>
      </c>
      <c r="B95" s="3" t="s">
        <v>83</v>
      </c>
      <c r="C95" s="3" t="s">
        <v>285</v>
      </c>
      <c r="D95" s="3">
        <v>10</v>
      </c>
      <c r="E95" s="3">
        <v>1.95</v>
      </c>
      <c r="F95" s="3">
        <v>9.5</v>
      </c>
      <c r="G95" s="3" t="s">
        <v>292</v>
      </c>
      <c r="H95">
        <v>0.95</v>
      </c>
      <c r="I95">
        <f>22/43</f>
        <v>0.51162790697674421</v>
      </c>
    </row>
    <row r="96" spans="1:9" x14ac:dyDescent="0.2">
      <c r="A96" s="2">
        <v>44751</v>
      </c>
      <c r="B96" s="3" t="s">
        <v>84</v>
      </c>
      <c r="C96" s="3" t="s">
        <v>286</v>
      </c>
      <c r="D96" s="3">
        <v>10</v>
      </c>
      <c r="E96" s="3">
        <v>1.66</v>
      </c>
      <c r="F96" s="3">
        <v>6.5999999999999899</v>
      </c>
      <c r="G96" s="3" t="s">
        <v>293</v>
      </c>
      <c r="H96">
        <v>-1</v>
      </c>
      <c r="I96">
        <f>48/65</f>
        <v>0.7384615384615385</v>
      </c>
    </row>
    <row r="97" spans="1:9" x14ac:dyDescent="0.2">
      <c r="A97" s="2">
        <v>44751</v>
      </c>
      <c r="B97" s="3" t="s">
        <v>85</v>
      </c>
      <c r="C97" s="3" t="s">
        <v>286</v>
      </c>
      <c r="D97" s="3">
        <v>10</v>
      </c>
      <c r="E97" s="3">
        <v>1.72</v>
      </c>
      <c r="F97" s="3">
        <v>7.1999999999999904</v>
      </c>
      <c r="G97" s="3" t="s">
        <v>292</v>
      </c>
      <c r="H97">
        <v>0.71999999999999909</v>
      </c>
      <c r="I97">
        <f>32/52</f>
        <v>0.61538461538461542</v>
      </c>
    </row>
    <row r="98" spans="1:9" x14ac:dyDescent="0.2">
      <c r="A98" s="2">
        <v>44751</v>
      </c>
      <c r="B98" s="3" t="s">
        <v>44</v>
      </c>
      <c r="C98" s="3" t="s">
        <v>285</v>
      </c>
      <c r="D98" s="3">
        <v>10</v>
      </c>
      <c r="E98" s="3">
        <v>1.66</v>
      </c>
      <c r="F98" s="3">
        <v>6.5999999999999899</v>
      </c>
      <c r="G98" s="3" t="s">
        <v>292</v>
      </c>
      <c r="H98">
        <v>0.65999999999999903</v>
      </c>
      <c r="I98">
        <v>0.55844155844155841</v>
      </c>
    </row>
    <row r="99" spans="1:9" x14ac:dyDescent="0.2">
      <c r="A99" s="2">
        <v>44751</v>
      </c>
      <c r="B99" s="3" t="s">
        <v>86</v>
      </c>
      <c r="C99" s="3" t="s">
        <v>285</v>
      </c>
      <c r="D99" s="3">
        <v>10</v>
      </c>
      <c r="E99" s="3">
        <v>1.61</v>
      </c>
      <c r="F99" s="3">
        <v>6.1</v>
      </c>
      <c r="G99" s="3" t="s">
        <v>292</v>
      </c>
      <c r="H99">
        <v>0.61</v>
      </c>
      <c r="I99">
        <f>59/85</f>
        <v>0.69411764705882351</v>
      </c>
    </row>
    <row r="100" spans="1:9" x14ac:dyDescent="0.2">
      <c r="A100" s="2">
        <v>44752</v>
      </c>
      <c r="B100" s="3" t="s">
        <v>52</v>
      </c>
      <c r="C100" s="3" t="s">
        <v>285</v>
      </c>
      <c r="D100" s="3">
        <v>10</v>
      </c>
      <c r="E100" s="3">
        <v>1.66</v>
      </c>
      <c r="F100" s="3">
        <v>6.5999999999999899</v>
      </c>
      <c r="G100" s="3" t="s">
        <v>292</v>
      </c>
      <c r="H100">
        <v>0.65999999999999903</v>
      </c>
      <c r="I100">
        <v>0.84615384615384615</v>
      </c>
    </row>
    <row r="101" spans="1:9" x14ac:dyDescent="0.2">
      <c r="A101" s="2">
        <v>44753</v>
      </c>
      <c r="B101" s="3" t="s">
        <v>87</v>
      </c>
      <c r="C101" s="3" t="s">
        <v>286</v>
      </c>
      <c r="D101" s="3">
        <v>10</v>
      </c>
      <c r="E101" s="3">
        <v>1.7</v>
      </c>
      <c r="F101" s="3">
        <v>7</v>
      </c>
      <c r="G101" s="3" t="s">
        <v>292</v>
      </c>
      <c r="H101">
        <v>0.7</v>
      </c>
      <c r="I101">
        <f>48/78</f>
        <v>0.61538461538461542</v>
      </c>
    </row>
    <row r="102" spans="1:9" x14ac:dyDescent="0.2">
      <c r="A102" s="2">
        <v>44753</v>
      </c>
      <c r="B102" s="3" t="s">
        <v>88</v>
      </c>
      <c r="C102" s="3" t="s">
        <v>285</v>
      </c>
      <c r="D102" s="3">
        <v>10</v>
      </c>
      <c r="E102" s="3">
        <v>2</v>
      </c>
      <c r="F102" s="3">
        <v>10</v>
      </c>
      <c r="G102" s="3" t="s">
        <v>292</v>
      </c>
      <c r="H102">
        <v>1</v>
      </c>
      <c r="I102">
        <f>47/70</f>
        <v>0.67142857142857137</v>
      </c>
    </row>
    <row r="103" spans="1:9" x14ac:dyDescent="0.2">
      <c r="A103" s="2">
        <v>44753</v>
      </c>
      <c r="B103" s="3" t="s">
        <v>89</v>
      </c>
      <c r="C103" s="3" t="s">
        <v>285</v>
      </c>
      <c r="D103" s="3">
        <v>10</v>
      </c>
      <c r="E103" s="3">
        <v>1.8</v>
      </c>
      <c r="F103" s="3">
        <v>8</v>
      </c>
      <c r="G103" s="3" t="s">
        <v>292</v>
      </c>
      <c r="H103">
        <v>0.8</v>
      </c>
      <c r="I103">
        <f>17/34</f>
        <v>0.5</v>
      </c>
    </row>
    <row r="104" spans="1:9" x14ac:dyDescent="0.2">
      <c r="A104" s="2">
        <v>44753</v>
      </c>
      <c r="B104" s="3" t="s">
        <v>40</v>
      </c>
      <c r="C104" s="3" t="s">
        <v>285</v>
      </c>
      <c r="D104" s="3">
        <v>10</v>
      </c>
      <c r="E104" s="3">
        <v>1.8</v>
      </c>
      <c r="F104" s="3">
        <v>8</v>
      </c>
      <c r="G104" s="3" t="s">
        <v>292</v>
      </c>
      <c r="H104">
        <v>0.8</v>
      </c>
      <c r="I104">
        <v>0.63636363636363635</v>
      </c>
    </row>
    <row r="105" spans="1:9" x14ac:dyDescent="0.2">
      <c r="A105" s="2">
        <v>44754</v>
      </c>
      <c r="B105" s="3" t="s">
        <v>90</v>
      </c>
      <c r="C105" s="3" t="s">
        <v>285</v>
      </c>
      <c r="D105" s="3">
        <v>10</v>
      </c>
      <c r="E105" s="3">
        <v>2.1</v>
      </c>
      <c r="F105" s="3">
        <v>11</v>
      </c>
      <c r="G105" s="3" t="s">
        <v>292</v>
      </c>
      <c r="H105">
        <v>1.1000000000000001</v>
      </c>
      <c r="I105">
        <f>18/49</f>
        <v>0.36734693877551022</v>
      </c>
    </row>
    <row r="106" spans="1:9" x14ac:dyDescent="0.2">
      <c r="A106" s="2">
        <v>44754</v>
      </c>
      <c r="B106" s="3" t="s">
        <v>91</v>
      </c>
      <c r="C106" s="3" t="s">
        <v>285</v>
      </c>
      <c r="D106" s="3">
        <v>10</v>
      </c>
      <c r="E106" s="3">
        <v>2.25</v>
      </c>
      <c r="F106" s="3">
        <v>12.5</v>
      </c>
      <c r="G106" s="3" t="s">
        <v>293</v>
      </c>
      <c r="H106">
        <v>-1</v>
      </c>
      <c r="I106">
        <f>34/67</f>
        <v>0.5074626865671642</v>
      </c>
    </row>
    <row r="107" spans="1:9" x14ac:dyDescent="0.2">
      <c r="A107" s="2">
        <v>44754</v>
      </c>
      <c r="B107" s="3" t="s">
        <v>92</v>
      </c>
      <c r="C107" s="3" t="s">
        <v>286</v>
      </c>
      <c r="D107" s="3">
        <v>10</v>
      </c>
      <c r="E107" s="3">
        <v>1.95</v>
      </c>
      <c r="F107" s="3">
        <v>9.5</v>
      </c>
      <c r="G107" s="3" t="s">
        <v>293</v>
      </c>
      <c r="H107">
        <v>-1</v>
      </c>
      <c r="I107">
        <f>41/67</f>
        <v>0.61194029850746268</v>
      </c>
    </row>
    <row r="108" spans="1:9" x14ac:dyDescent="0.2">
      <c r="A108" s="2">
        <v>44754</v>
      </c>
      <c r="B108" s="3" t="s">
        <v>93</v>
      </c>
      <c r="C108" s="3" t="s">
        <v>286</v>
      </c>
      <c r="D108" s="3">
        <v>10</v>
      </c>
      <c r="E108" s="3">
        <v>1.66</v>
      </c>
      <c r="F108" s="3">
        <v>6.5999999999999899</v>
      </c>
      <c r="G108" s="3" t="s">
        <v>293</v>
      </c>
      <c r="H108">
        <v>-1</v>
      </c>
      <c r="I108">
        <f>34/55</f>
        <v>0.61818181818181817</v>
      </c>
    </row>
    <row r="109" spans="1:9" x14ac:dyDescent="0.2">
      <c r="A109" s="2">
        <v>44754</v>
      </c>
      <c r="B109" s="3" t="s">
        <v>94</v>
      </c>
      <c r="C109" s="3" t="s">
        <v>285</v>
      </c>
      <c r="D109" s="3">
        <v>10</v>
      </c>
      <c r="E109" s="3">
        <v>2.5</v>
      </c>
      <c r="F109" s="3">
        <v>15</v>
      </c>
      <c r="G109" s="3" t="s">
        <v>293</v>
      </c>
      <c r="H109">
        <v>-1</v>
      </c>
      <c r="I109">
        <f>16/29</f>
        <v>0.55172413793103448</v>
      </c>
    </row>
    <row r="110" spans="1:9" x14ac:dyDescent="0.2">
      <c r="A110" s="2">
        <v>44754</v>
      </c>
      <c r="B110" s="3" t="s">
        <v>95</v>
      </c>
      <c r="C110" s="3" t="s">
        <v>286</v>
      </c>
      <c r="D110" s="3">
        <v>10</v>
      </c>
      <c r="E110" s="3">
        <v>2.5</v>
      </c>
      <c r="F110" s="3">
        <v>15</v>
      </c>
      <c r="G110" s="3" t="s">
        <v>293</v>
      </c>
      <c r="H110">
        <v>-1</v>
      </c>
      <c r="I110">
        <f>3/15</f>
        <v>0.2</v>
      </c>
    </row>
    <row r="111" spans="1:9" x14ac:dyDescent="0.2">
      <c r="A111" s="2">
        <v>44754</v>
      </c>
      <c r="B111" s="3" t="s">
        <v>96</v>
      </c>
      <c r="C111" s="3" t="s">
        <v>285</v>
      </c>
      <c r="D111" s="3">
        <v>10</v>
      </c>
      <c r="E111" s="3">
        <v>1.7</v>
      </c>
      <c r="F111" s="3">
        <v>7</v>
      </c>
      <c r="G111" s="3" t="s">
        <v>292</v>
      </c>
      <c r="H111">
        <v>0.7</v>
      </c>
      <c r="I111">
        <f>25/57</f>
        <v>0.43859649122807015</v>
      </c>
    </row>
    <row r="112" spans="1:9" x14ac:dyDescent="0.2">
      <c r="A112" s="2">
        <v>44754</v>
      </c>
      <c r="B112" s="3" t="s">
        <v>97</v>
      </c>
      <c r="C112" s="3" t="s">
        <v>286</v>
      </c>
      <c r="D112" s="3">
        <v>10</v>
      </c>
      <c r="E112" s="3">
        <v>1.5</v>
      </c>
      <c r="F112" s="3">
        <v>5</v>
      </c>
      <c r="G112" s="3" t="s">
        <v>292</v>
      </c>
      <c r="H112">
        <v>0.5</v>
      </c>
      <c r="I112">
        <f>39/61</f>
        <v>0.63934426229508201</v>
      </c>
    </row>
    <row r="113" spans="1:9" x14ac:dyDescent="0.2">
      <c r="A113" s="2">
        <v>44754</v>
      </c>
      <c r="B113" s="3" t="s">
        <v>98</v>
      </c>
      <c r="C113" s="3" t="s">
        <v>285</v>
      </c>
      <c r="D113" s="3">
        <v>10</v>
      </c>
      <c r="E113" s="3">
        <v>2</v>
      </c>
      <c r="F113" s="3">
        <v>10</v>
      </c>
      <c r="G113" s="3" t="s">
        <v>292</v>
      </c>
      <c r="H113">
        <v>1</v>
      </c>
      <c r="I113">
        <f>16/24</f>
        <v>0.66666666666666663</v>
      </c>
    </row>
    <row r="114" spans="1:9" x14ac:dyDescent="0.2">
      <c r="A114" s="2">
        <v>44754</v>
      </c>
      <c r="B114" s="3" t="s">
        <v>99</v>
      </c>
      <c r="C114" s="3" t="s">
        <v>286</v>
      </c>
      <c r="D114" s="3">
        <v>10</v>
      </c>
      <c r="E114" s="3">
        <v>1.8</v>
      </c>
      <c r="F114" s="3">
        <v>8</v>
      </c>
      <c r="G114" s="3" t="s">
        <v>292</v>
      </c>
      <c r="H114">
        <v>0.8</v>
      </c>
      <c r="I114">
        <f>13/32</f>
        <v>0.40625</v>
      </c>
    </row>
    <row r="115" spans="1:9" x14ac:dyDescent="0.2">
      <c r="A115" s="2">
        <v>44754</v>
      </c>
      <c r="B115" s="3" t="s">
        <v>100</v>
      </c>
      <c r="C115" s="3" t="s">
        <v>285</v>
      </c>
      <c r="D115" s="3">
        <v>10</v>
      </c>
      <c r="E115" s="3">
        <v>2.25</v>
      </c>
      <c r="F115" s="3">
        <v>12.5</v>
      </c>
      <c r="G115" s="3" t="s">
        <v>292</v>
      </c>
      <c r="H115">
        <v>1.25</v>
      </c>
      <c r="I115">
        <f>38/58</f>
        <v>0.65517241379310343</v>
      </c>
    </row>
    <row r="116" spans="1:9" x14ac:dyDescent="0.2">
      <c r="A116" s="2">
        <v>44754</v>
      </c>
      <c r="B116" s="3" t="s">
        <v>101</v>
      </c>
      <c r="C116" s="3" t="s">
        <v>285</v>
      </c>
      <c r="D116" s="3">
        <v>10</v>
      </c>
      <c r="E116" s="3">
        <v>1.95</v>
      </c>
      <c r="F116" s="3">
        <v>9.5</v>
      </c>
      <c r="G116" s="3" t="s">
        <v>293</v>
      </c>
      <c r="H116">
        <v>-1</v>
      </c>
      <c r="I116">
        <f>23/56</f>
        <v>0.4107142857142857</v>
      </c>
    </row>
    <row r="117" spans="1:9" x14ac:dyDescent="0.2">
      <c r="A117" s="2">
        <v>44754</v>
      </c>
      <c r="B117" s="3" t="s">
        <v>102</v>
      </c>
      <c r="C117" s="3" t="s">
        <v>286</v>
      </c>
      <c r="D117" s="3">
        <v>10</v>
      </c>
      <c r="E117" s="3">
        <v>2</v>
      </c>
      <c r="F117" s="3">
        <v>10</v>
      </c>
      <c r="G117" s="3" t="s">
        <v>293</v>
      </c>
      <c r="H117">
        <v>-1</v>
      </c>
      <c r="I117">
        <f>6/14</f>
        <v>0.42857142857142855</v>
      </c>
    </row>
    <row r="118" spans="1:9" x14ac:dyDescent="0.2">
      <c r="A118" s="2">
        <v>44754</v>
      </c>
      <c r="B118" s="3" t="s">
        <v>103</v>
      </c>
      <c r="C118" s="3" t="s">
        <v>286</v>
      </c>
      <c r="D118" s="3">
        <v>10</v>
      </c>
      <c r="E118" s="3">
        <v>1.8</v>
      </c>
      <c r="F118" s="3">
        <v>8</v>
      </c>
      <c r="G118" s="3" t="s">
        <v>293</v>
      </c>
      <c r="H118">
        <v>-1</v>
      </c>
      <c r="I118">
        <f>19/44</f>
        <v>0.43181818181818182</v>
      </c>
    </row>
    <row r="119" spans="1:9" x14ac:dyDescent="0.2">
      <c r="A119" s="2">
        <v>44754</v>
      </c>
      <c r="B119" s="3" t="s">
        <v>104</v>
      </c>
      <c r="C119" s="3" t="s">
        <v>286</v>
      </c>
      <c r="D119" s="3">
        <v>10</v>
      </c>
      <c r="E119" s="3">
        <v>2.0499999999999998</v>
      </c>
      <c r="F119" s="3">
        <v>10.5</v>
      </c>
      <c r="G119" s="3" t="s">
        <v>293</v>
      </c>
      <c r="H119">
        <v>-1</v>
      </c>
      <c r="I119">
        <f>45/67</f>
        <v>0.67164179104477617</v>
      </c>
    </row>
    <row r="120" spans="1:9" x14ac:dyDescent="0.2">
      <c r="A120" s="2">
        <v>44754</v>
      </c>
      <c r="B120" s="3" t="s">
        <v>105</v>
      </c>
      <c r="C120" s="3" t="s">
        <v>286</v>
      </c>
      <c r="D120" s="3">
        <v>10</v>
      </c>
      <c r="E120" s="3">
        <v>6</v>
      </c>
      <c r="F120" s="3">
        <v>50</v>
      </c>
      <c r="G120" s="3" t="s">
        <v>293</v>
      </c>
      <c r="H120">
        <v>-1</v>
      </c>
      <c r="I120">
        <f>6/14</f>
        <v>0.42857142857142855</v>
      </c>
    </row>
    <row r="121" spans="1:9" x14ac:dyDescent="0.2">
      <c r="A121" s="2">
        <v>44754</v>
      </c>
      <c r="B121" s="3" t="s">
        <v>106</v>
      </c>
      <c r="C121" s="3" t="s">
        <v>285</v>
      </c>
      <c r="D121" s="3">
        <v>10</v>
      </c>
      <c r="E121" s="3">
        <v>1.9</v>
      </c>
      <c r="F121" s="3">
        <v>9</v>
      </c>
      <c r="G121" s="3" t="s">
        <v>293</v>
      </c>
      <c r="H121">
        <v>-1</v>
      </c>
      <c r="I121">
        <f>50/72</f>
        <v>0.69444444444444442</v>
      </c>
    </row>
    <row r="122" spans="1:9" x14ac:dyDescent="0.2">
      <c r="A122" s="2">
        <v>44755</v>
      </c>
      <c r="B122" s="3" t="s">
        <v>107</v>
      </c>
      <c r="C122" s="3" t="s">
        <v>285</v>
      </c>
      <c r="D122" s="3">
        <v>10</v>
      </c>
      <c r="E122" s="3">
        <v>1.72</v>
      </c>
      <c r="F122" s="3">
        <v>7.1999999999999904</v>
      </c>
      <c r="G122" s="3" t="s">
        <v>292</v>
      </c>
      <c r="H122">
        <v>0.71999999999999909</v>
      </c>
      <c r="I122">
        <f>37/62</f>
        <v>0.59677419354838712</v>
      </c>
    </row>
    <row r="123" spans="1:9" x14ac:dyDescent="0.2">
      <c r="A123" s="2">
        <v>44755</v>
      </c>
      <c r="B123" s="3" t="s">
        <v>108</v>
      </c>
      <c r="C123" s="3" t="s">
        <v>286</v>
      </c>
      <c r="D123" s="3">
        <v>10</v>
      </c>
      <c r="E123" s="3">
        <v>2.37</v>
      </c>
      <c r="F123" s="3">
        <v>13.7</v>
      </c>
      <c r="G123" s="3" t="s">
        <v>293</v>
      </c>
      <c r="H123">
        <v>-1</v>
      </c>
      <c r="I123">
        <f>29/63</f>
        <v>0.46031746031746029</v>
      </c>
    </row>
    <row r="124" spans="1:9" x14ac:dyDescent="0.2">
      <c r="A124" s="2">
        <v>44755</v>
      </c>
      <c r="B124" s="3" t="s">
        <v>109</v>
      </c>
      <c r="C124" s="3" t="s">
        <v>286</v>
      </c>
      <c r="D124" s="3">
        <v>10</v>
      </c>
      <c r="E124" s="3">
        <v>1.5</v>
      </c>
      <c r="F124" s="3">
        <v>5</v>
      </c>
      <c r="G124" s="3" t="s">
        <v>292</v>
      </c>
      <c r="H124">
        <v>0.5</v>
      </c>
      <c r="I124">
        <f>33/59</f>
        <v>0.55932203389830504</v>
      </c>
    </row>
    <row r="125" spans="1:9" x14ac:dyDescent="0.2">
      <c r="A125" s="2">
        <v>44755</v>
      </c>
      <c r="B125" s="3" t="s">
        <v>110</v>
      </c>
      <c r="C125" s="3" t="s">
        <v>285</v>
      </c>
      <c r="D125" s="3">
        <v>10</v>
      </c>
      <c r="E125" s="3">
        <v>1.75</v>
      </c>
      <c r="F125" s="3">
        <v>7.5</v>
      </c>
      <c r="G125" s="3" t="s">
        <v>293</v>
      </c>
      <c r="H125">
        <v>-1</v>
      </c>
      <c r="I125">
        <f>13/35</f>
        <v>0.37142857142857144</v>
      </c>
    </row>
    <row r="126" spans="1:9" x14ac:dyDescent="0.2">
      <c r="A126" s="2">
        <v>44755</v>
      </c>
      <c r="B126" s="3" t="s">
        <v>111</v>
      </c>
      <c r="C126" s="3" t="s">
        <v>286</v>
      </c>
      <c r="D126" s="3">
        <v>10</v>
      </c>
      <c r="E126" s="3">
        <v>1.95</v>
      </c>
      <c r="F126" s="3">
        <v>9.5</v>
      </c>
      <c r="G126" s="3" t="s">
        <v>292</v>
      </c>
      <c r="H126">
        <v>0.95</v>
      </c>
      <c r="I126">
        <f>53/69</f>
        <v>0.76811594202898548</v>
      </c>
    </row>
    <row r="127" spans="1:9" x14ac:dyDescent="0.2">
      <c r="A127" s="2">
        <v>44755</v>
      </c>
      <c r="B127" s="3" t="s">
        <v>112</v>
      </c>
      <c r="C127" s="3" t="s">
        <v>285</v>
      </c>
      <c r="D127" s="3">
        <v>10</v>
      </c>
      <c r="E127" s="3">
        <v>1.8</v>
      </c>
      <c r="F127" s="3">
        <v>8</v>
      </c>
      <c r="G127" s="3" t="s">
        <v>293</v>
      </c>
      <c r="H127">
        <v>-1</v>
      </c>
      <c r="I127">
        <f>53/77</f>
        <v>0.68831168831168832</v>
      </c>
    </row>
    <row r="128" spans="1:9" x14ac:dyDescent="0.2">
      <c r="A128" s="2">
        <v>44755</v>
      </c>
      <c r="B128" s="3" t="s">
        <v>304</v>
      </c>
      <c r="C128" s="3" t="s">
        <v>285</v>
      </c>
      <c r="D128" s="3">
        <v>10</v>
      </c>
      <c r="E128" s="3">
        <v>1.7</v>
      </c>
      <c r="F128" s="3">
        <v>7</v>
      </c>
      <c r="G128" s="3" t="s">
        <v>292</v>
      </c>
      <c r="H128">
        <v>0.7</v>
      </c>
      <c r="I128">
        <f>29/58</f>
        <v>0.5</v>
      </c>
    </row>
    <row r="129" spans="1:9" x14ac:dyDescent="0.2">
      <c r="A129" s="2">
        <v>44755</v>
      </c>
      <c r="B129" s="3" t="s">
        <v>2</v>
      </c>
      <c r="C129" s="3" t="s">
        <v>286</v>
      </c>
      <c r="D129" s="3">
        <v>10</v>
      </c>
      <c r="E129" s="3">
        <v>1.66</v>
      </c>
      <c r="F129" s="3">
        <v>6.5999999999999899</v>
      </c>
      <c r="G129" s="3" t="s">
        <v>292</v>
      </c>
      <c r="H129">
        <v>0.65999999999999903</v>
      </c>
      <c r="I129">
        <v>0.64102564102564108</v>
      </c>
    </row>
    <row r="130" spans="1:9" x14ac:dyDescent="0.2">
      <c r="A130" s="2">
        <v>44755</v>
      </c>
      <c r="B130" s="3" t="s">
        <v>113</v>
      </c>
      <c r="C130" s="3" t="s">
        <v>286</v>
      </c>
      <c r="D130" s="3">
        <v>10</v>
      </c>
      <c r="E130" s="3">
        <v>1.95</v>
      </c>
      <c r="F130" s="3">
        <v>9.5</v>
      </c>
      <c r="G130" s="3" t="s">
        <v>292</v>
      </c>
      <c r="H130">
        <v>0.95</v>
      </c>
      <c r="I130">
        <f>29/64</f>
        <v>0.453125</v>
      </c>
    </row>
    <row r="131" spans="1:9" x14ac:dyDescent="0.2">
      <c r="A131" s="2">
        <v>44755</v>
      </c>
      <c r="B131" s="3" t="s">
        <v>114</v>
      </c>
      <c r="C131" s="3" t="s">
        <v>286</v>
      </c>
      <c r="D131" s="3">
        <v>10</v>
      </c>
      <c r="E131" s="3">
        <v>1.9</v>
      </c>
      <c r="F131" s="3">
        <v>9</v>
      </c>
      <c r="G131" s="3" t="s">
        <v>292</v>
      </c>
      <c r="H131">
        <v>0.9</v>
      </c>
      <c r="I131">
        <f>15/31</f>
        <v>0.4838709677419355</v>
      </c>
    </row>
    <row r="132" spans="1:9" x14ac:dyDescent="0.2">
      <c r="A132" s="2">
        <v>44755</v>
      </c>
      <c r="B132" s="3" t="s">
        <v>115</v>
      </c>
      <c r="C132" s="3" t="s">
        <v>286</v>
      </c>
      <c r="D132" s="3">
        <v>10</v>
      </c>
      <c r="E132" s="3">
        <v>2.2999999999999998</v>
      </c>
      <c r="F132" s="3">
        <v>13</v>
      </c>
      <c r="G132" s="3" t="s">
        <v>293</v>
      </c>
      <c r="H132">
        <v>-1</v>
      </c>
      <c r="I132">
        <f>37/65</f>
        <v>0.56923076923076921</v>
      </c>
    </row>
    <row r="133" spans="1:9" x14ac:dyDescent="0.2">
      <c r="A133" s="2">
        <v>44756</v>
      </c>
      <c r="B133" s="3" t="s">
        <v>116</v>
      </c>
      <c r="C133" s="3" t="s">
        <v>286</v>
      </c>
      <c r="D133" s="3">
        <v>10</v>
      </c>
      <c r="E133" s="3">
        <v>1.57</v>
      </c>
      <c r="F133" s="3">
        <v>5.7</v>
      </c>
      <c r="G133" s="3" t="s">
        <v>293</v>
      </c>
      <c r="H133">
        <v>-1</v>
      </c>
      <c r="I133">
        <f>34/68</f>
        <v>0.5</v>
      </c>
    </row>
    <row r="134" spans="1:9" x14ac:dyDescent="0.2">
      <c r="A134" s="2">
        <v>44756</v>
      </c>
      <c r="B134" s="3" t="s">
        <v>77</v>
      </c>
      <c r="C134" s="3" t="s">
        <v>285</v>
      </c>
      <c r="D134" s="3">
        <v>10</v>
      </c>
      <c r="E134" s="3">
        <v>1.72</v>
      </c>
      <c r="F134" s="3">
        <v>7.1999999999999904</v>
      </c>
      <c r="G134" s="3" t="s">
        <v>292</v>
      </c>
      <c r="H134">
        <v>0.71999999999999909</v>
      </c>
      <c r="I134">
        <v>0.64864864864864868</v>
      </c>
    </row>
    <row r="135" spans="1:9" x14ac:dyDescent="0.2">
      <c r="A135" s="2">
        <v>44756</v>
      </c>
      <c r="B135" s="3" t="s">
        <v>117</v>
      </c>
      <c r="C135" s="3" t="s">
        <v>286</v>
      </c>
      <c r="D135" s="3">
        <v>10</v>
      </c>
      <c r="E135" s="3">
        <v>1.9</v>
      </c>
      <c r="F135" s="3">
        <v>9</v>
      </c>
      <c r="G135" s="3" t="s">
        <v>292</v>
      </c>
      <c r="H135">
        <v>0.9</v>
      </c>
      <c r="I135">
        <f>32/52</f>
        <v>0.61538461538461542</v>
      </c>
    </row>
    <row r="136" spans="1:9" x14ac:dyDescent="0.2">
      <c r="A136" s="2">
        <v>44756</v>
      </c>
      <c r="B136" s="3" t="s">
        <v>118</v>
      </c>
      <c r="C136" s="3" t="s">
        <v>285</v>
      </c>
      <c r="D136" s="3">
        <v>10</v>
      </c>
      <c r="E136" s="3">
        <v>1.5</v>
      </c>
      <c r="F136" s="3">
        <v>5</v>
      </c>
      <c r="G136" s="3" t="s">
        <v>292</v>
      </c>
      <c r="H136">
        <v>0.5</v>
      </c>
      <c r="I136">
        <f>34/64</f>
        <v>0.53125</v>
      </c>
    </row>
    <row r="137" spans="1:9" x14ac:dyDescent="0.2">
      <c r="A137" s="2">
        <v>44756</v>
      </c>
      <c r="B137" s="3" t="s">
        <v>119</v>
      </c>
      <c r="C137" s="3" t="s">
        <v>285</v>
      </c>
      <c r="D137" s="3">
        <v>10</v>
      </c>
      <c r="E137" s="3">
        <v>1.8</v>
      </c>
      <c r="F137" s="3">
        <v>8</v>
      </c>
      <c r="G137" s="3" t="s">
        <v>292</v>
      </c>
      <c r="H137">
        <v>0.8</v>
      </c>
      <c r="I137">
        <f>21/33</f>
        <v>0.63636363636363635</v>
      </c>
    </row>
    <row r="138" spans="1:9" x14ac:dyDescent="0.2">
      <c r="A138" s="2">
        <v>44756</v>
      </c>
      <c r="B138" s="3" t="s">
        <v>120</v>
      </c>
      <c r="C138" s="3" t="s">
        <v>286</v>
      </c>
      <c r="D138" s="3">
        <v>10</v>
      </c>
      <c r="E138" s="3">
        <v>1.8</v>
      </c>
      <c r="F138" s="3">
        <v>8</v>
      </c>
      <c r="G138" s="3" t="s">
        <v>293</v>
      </c>
      <c r="H138">
        <v>-1</v>
      </c>
      <c r="I138">
        <f>28/49</f>
        <v>0.5714285714285714</v>
      </c>
    </row>
    <row r="139" spans="1:9" x14ac:dyDescent="0.2">
      <c r="A139" s="2">
        <v>44756</v>
      </c>
      <c r="B139" s="3" t="s">
        <v>121</v>
      </c>
      <c r="C139" s="3" t="s">
        <v>286</v>
      </c>
      <c r="D139" s="3">
        <v>10</v>
      </c>
      <c r="E139" s="3">
        <v>2.62</v>
      </c>
      <c r="F139" s="3">
        <v>16.2</v>
      </c>
      <c r="G139" s="3" t="s">
        <v>292</v>
      </c>
      <c r="H139">
        <v>1.6199999999999999</v>
      </c>
      <c r="I139">
        <f>19/33</f>
        <v>0.5757575757575758</v>
      </c>
    </row>
    <row r="140" spans="1:9" x14ac:dyDescent="0.2">
      <c r="A140" s="2">
        <v>44756</v>
      </c>
      <c r="B140" s="3" t="s">
        <v>122</v>
      </c>
      <c r="C140" s="3" t="s">
        <v>286</v>
      </c>
      <c r="D140" s="3">
        <v>10</v>
      </c>
      <c r="E140" s="3">
        <v>1.66</v>
      </c>
      <c r="F140" s="3">
        <v>6.5999999999999899</v>
      </c>
      <c r="G140" s="3" t="s">
        <v>292</v>
      </c>
      <c r="H140">
        <v>0.65999999999999903</v>
      </c>
      <c r="I140">
        <f>14/25</f>
        <v>0.56000000000000005</v>
      </c>
    </row>
    <row r="141" spans="1:9" x14ac:dyDescent="0.2">
      <c r="A141" s="2">
        <v>44757</v>
      </c>
      <c r="B141" s="3" t="s">
        <v>123</v>
      </c>
      <c r="C141" s="3" t="s">
        <v>285</v>
      </c>
      <c r="D141" s="3">
        <v>10</v>
      </c>
      <c r="E141" s="3">
        <v>1.8</v>
      </c>
      <c r="F141" s="3">
        <v>8</v>
      </c>
      <c r="G141" s="3" t="s">
        <v>292</v>
      </c>
      <c r="H141">
        <v>0.8</v>
      </c>
      <c r="I141">
        <f>27/46</f>
        <v>0.58695652173913049</v>
      </c>
    </row>
    <row r="142" spans="1:9" x14ac:dyDescent="0.2">
      <c r="A142" s="2">
        <v>44757</v>
      </c>
      <c r="B142" s="3" t="s">
        <v>124</v>
      </c>
      <c r="C142" s="3" t="s">
        <v>285</v>
      </c>
      <c r="D142" s="3">
        <v>10</v>
      </c>
      <c r="E142" s="3">
        <v>1.61</v>
      </c>
      <c r="F142" s="3">
        <v>6.1</v>
      </c>
      <c r="G142" s="3" t="s">
        <v>293</v>
      </c>
      <c r="H142">
        <v>-1</v>
      </c>
      <c r="I142">
        <f>28/54</f>
        <v>0.51851851851851849</v>
      </c>
    </row>
    <row r="143" spans="1:9" x14ac:dyDescent="0.2">
      <c r="A143" s="2">
        <v>44757</v>
      </c>
      <c r="B143" s="3" t="s">
        <v>71</v>
      </c>
      <c r="C143" s="3" t="s">
        <v>285</v>
      </c>
      <c r="D143" s="3">
        <v>10</v>
      </c>
      <c r="E143" s="3">
        <v>1.9</v>
      </c>
      <c r="F143" s="3">
        <v>9</v>
      </c>
      <c r="G143" s="3" t="s">
        <v>292</v>
      </c>
      <c r="H143">
        <v>0.9</v>
      </c>
      <c r="I143">
        <v>0.58750000000000002</v>
      </c>
    </row>
    <row r="144" spans="1:9" x14ac:dyDescent="0.2">
      <c r="A144" s="2">
        <v>44757</v>
      </c>
      <c r="B144" s="3" t="s">
        <v>125</v>
      </c>
      <c r="C144" s="3" t="s">
        <v>285</v>
      </c>
      <c r="D144" s="3">
        <v>10</v>
      </c>
      <c r="E144" s="3">
        <v>2.62</v>
      </c>
      <c r="F144" s="3">
        <v>16.2</v>
      </c>
      <c r="G144" s="3" t="s">
        <v>293</v>
      </c>
      <c r="H144">
        <v>-1</v>
      </c>
      <c r="I144">
        <f>40/68</f>
        <v>0.58823529411764708</v>
      </c>
    </row>
    <row r="145" spans="1:9" x14ac:dyDescent="0.2">
      <c r="A145" s="2">
        <v>44757</v>
      </c>
      <c r="B145" s="3" t="s">
        <v>126</v>
      </c>
      <c r="C145" s="3" t="s">
        <v>286</v>
      </c>
      <c r="D145" s="3">
        <v>10</v>
      </c>
      <c r="E145" s="3">
        <v>2.1</v>
      </c>
      <c r="F145" s="3">
        <v>11</v>
      </c>
      <c r="G145" s="3" t="s">
        <v>293</v>
      </c>
      <c r="H145">
        <v>-1</v>
      </c>
      <c r="I145">
        <f>35/62</f>
        <v>0.56451612903225812</v>
      </c>
    </row>
    <row r="146" spans="1:9" x14ac:dyDescent="0.2">
      <c r="A146" s="2">
        <v>44757</v>
      </c>
      <c r="B146" s="3" t="s">
        <v>127</v>
      </c>
      <c r="C146" s="3" t="s">
        <v>286</v>
      </c>
      <c r="D146" s="3">
        <v>10</v>
      </c>
      <c r="E146" s="3">
        <v>1.5</v>
      </c>
      <c r="F146" s="3">
        <v>5</v>
      </c>
      <c r="G146" s="3" t="s">
        <v>292</v>
      </c>
      <c r="H146">
        <v>0.5</v>
      </c>
      <c r="I146">
        <f>59/91</f>
        <v>0.64835164835164838</v>
      </c>
    </row>
    <row r="147" spans="1:9" x14ac:dyDescent="0.2">
      <c r="A147" s="2">
        <v>44757</v>
      </c>
      <c r="B147" s="3" t="s">
        <v>128</v>
      </c>
      <c r="C147" s="3" t="s">
        <v>285</v>
      </c>
      <c r="D147" s="3">
        <v>10</v>
      </c>
      <c r="E147" s="3">
        <v>1.9</v>
      </c>
      <c r="F147" s="3">
        <v>9</v>
      </c>
      <c r="G147" s="3" t="s">
        <v>293</v>
      </c>
      <c r="H147">
        <v>-1</v>
      </c>
      <c r="I147">
        <f>44/77</f>
        <v>0.5714285714285714</v>
      </c>
    </row>
    <row r="148" spans="1:9" x14ac:dyDescent="0.2">
      <c r="A148" s="2">
        <v>44757</v>
      </c>
      <c r="B148" s="3" t="s">
        <v>129</v>
      </c>
      <c r="C148" s="3" t="s">
        <v>286</v>
      </c>
      <c r="D148" s="3">
        <v>10</v>
      </c>
      <c r="E148" s="3">
        <v>2.1</v>
      </c>
      <c r="F148" s="3">
        <v>11</v>
      </c>
      <c r="G148" s="3" t="s">
        <v>293</v>
      </c>
      <c r="H148">
        <v>-1</v>
      </c>
      <c r="I148">
        <f>43/72</f>
        <v>0.59722222222222221</v>
      </c>
    </row>
    <row r="149" spans="1:9" x14ac:dyDescent="0.2">
      <c r="A149" s="2">
        <v>44757</v>
      </c>
      <c r="B149" s="3" t="s">
        <v>13</v>
      </c>
      <c r="C149" s="3" t="s">
        <v>285</v>
      </c>
      <c r="D149" s="3">
        <v>10</v>
      </c>
      <c r="E149" s="3">
        <v>1.7</v>
      </c>
      <c r="F149" s="3">
        <v>7</v>
      </c>
      <c r="G149" s="3" t="s">
        <v>293</v>
      </c>
      <c r="H149">
        <v>-1</v>
      </c>
      <c r="I149">
        <v>0.79166666666666663</v>
      </c>
    </row>
    <row r="150" spans="1:9" x14ac:dyDescent="0.2">
      <c r="A150" s="2">
        <v>44757</v>
      </c>
      <c r="B150" s="3" t="s">
        <v>119</v>
      </c>
      <c r="C150" s="3" t="s">
        <v>285</v>
      </c>
      <c r="D150" s="3">
        <v>10</v>
      </c>
      <c r="E150" s="3">
        <v>1.61</v>
      </c>
      <c r="F150" s="3">
        <v>6.1</v>
      </c>
      <c r="G150" s="3" t="s">
        <v>292</v>
      </c>
      <c r="H150">
        <v>0.61</v>
      </c>
      <c r="I150">
        <v>0.63636363636363635</v>
      </c>
    </row>
    <row r="151" spans="1:9" x14ac:dyDescent="0.2">
      <c r="A151" s="2">
        <v>44757</v>
      </c>
      <c r="B151" s="3" t="s">
        <v>130</v>
      </c>
      <c r="C151" s="3" t="s">
        <v>286</v>
      </c>
      <c r="D151" s="3">
        <v>10</v>
      </c>
      <c r="E151" s="3">
        <v>1.8</v>
      </c>
      <c r="F151" s="3">
        <v>8</v>
      </c>
      <c r="G151" s="3" t="s">
        <v>292</v>
      </c>
      <c r="H151">
        <v>0.8</v>
      </c>
      <c r="I151">
        <f>25/33</f>
        <v>0.75757575757575757</v>
      </c>
    </row>
    <row r="152" spans="1:9" x14ac:dyDescent="0.2">
      <c r="A152" s="2">
        <v>44758</v>
      </c>
      <c r="B152" s="3" t="s">
        <v>31</v>
      </c>
      <c r="C152" s="3" t="s">
        <v>286</v>
      </c>
      <c r="D152" s="3">
        <v>10</v>
      </c>
      <c r="E152" s="3">
        <v>1.57</v>
      </c>
      <c r="F152" s="3">
        <v>5.7</v>
      </c>
      <c r="G152" s="3" t="s">
        <v>293</v>
      </c>
      <c r="H152">
        <v>-1</v>
      </c>
      <c r="I152">
        <v>0.44117647058823528</v>
      </c>
    </row>
    <row r="153" spans="1:9" x14ac:dyDescent="0.2">
      <c r="A153" s="2">
        <v>44758</v>
      </c>
      <c r="B153" s="3" t="s">
        <v>131</v>
      </c>
      <c r="C153" s="3" t="s">
        <v>285</v>
      </c>
      <c r="D153" s="3">
        <v>10</v>
      </c>
      <c r="E153" s="3">
        <v>4</v>
      </c>
      <c r="F153" s="3">
        <v>30</v>
      </c>
      <c r="G153" s="3" t="s">
        <v>293</v>
      </c>
      <c r="H153">
        <v>-1</v>
      </c>
      <c r="I153">
        <f>30/56</f>
        <v>0.5357142857142857</v>
      </c>
    </row>
    <row r="154" spans="1:9" x14ac:dyDescent="0.2">
      <c r="A154" s="2">
        <v>44758</v>
      </c>
      <c r="B154" s="3" t="s">
        <v>132</v>
      </c>
      <c r="C154" s="3" t="s">
        <v>286</v>
      </c>
      <c r="D154" s="3">
        <v>10</v>
      </c>
      <c r="E154" s="3">
        <v>1.61</v>
      </c>
      <c r="F154" s="3">
        <v>6.1</v>
      </c>
      <c r="G154" s="3" t="s">
        <v>293</v>
      </c>
      <c r="H154">
        <v>-1</v>
      </c>
      <c r="I154">
        <f>41/66</f>
        <v>0.62121212121212122</v>
      </c>
    </row>
    <row r="155" spans="1:9" x14ac:dyDescent="0.2">
      <c r="A155" s="2">
        <v>44758</v>
      </c>
      <c r="B155" s="3" t="s">
        <v>133</v>
      </c>
      <c r="C155" s="3" t="s">
        <v>285</v>
      </c>
      <c r="D155" s="3">
        <v>10</v>
      </c>
      <c r="E155" s="3">
        <v>2.5</v>
      </c>
      <c r="F155" s="3">
        <v>15</v>
      </c>
      <c r="G155" s="3" t="s">
        <v>293</v>
      </c>
      <c r="H155">
        <v>-1</v>
      </c>
      <c r="I155">
        <f>12/23</f>
        <v>0.52173913043478259</v>
      </c>
    </row>
    <row r="156" spans="1:9" x14ac:dyDescent="0.2">
      <c r="A156" s="2">
        <v>44758</v>
      </c>
      <c r="B156" s="3" t="s">
        <v>134</v>
      </c>
      <c r="C156" s="3" t="s">
        <v>286</v>
      </c>
      <c r="D156" s="3">
        <v>10</v>
      </c>
      <c r="E156" s="3">
        <v>1.66</v>
      </c>
      <c r="F156" s="3">
        <v>6.5999999999999899</v>
      </c>
      <c r="G156" s="3" t="s">
        <v>292</v>
      </c>
      <c r="H156">
        <v>0.65999999999999903</v>
      </c>
      <c r="I156">
        <f>31/55</f>
        <v>0.5636363636363636</v>
      </c>
    </row>
    <row r="157" spans="1:9" x14ac:dyDescent="0.2">
      <c r="A157" s="2">
        <v>44759</v>
      </c>
      <c r="B157" s="3" t="s">
        <v>135</v>
      </c>
      <c r="C157" s="3" t="s">
        <v>286</v>
      </c>
      <c r="D157" s="3">
        <v>10</v>
      </c>
      <c r="E157" s="3">
        <v>1.8</v>
      </c>
      <c r="F157" s="3">
        <v>8</v>
      </c>
      <c r="G157" s="3" t="s">
        <v>292</v>
      </c>
      <c r="H157">
        <v>0.8</v>
      </c>
      <c r="I157">
        <f>36/65</f>
        <v>0.55384615384615388</v>
      </c>
    </row>
    <row r="158" spans="1:9" x14ac:dyDescent="0.2">
      <c r="A158" s="2">
        <v>44759</v>
      </c>
      <c r="B158" s="3" t="s">
        <v>136</v>
      </c>
      <c r="C158" s="3" t="s">
        <v>286</v>
      </c>
      <c r="D158" s="3">
        <v>10</v>
      </c>
      <c r="E158" s="3">
        <v>1.8</v>
      </c>
      <c r="F158" s="3">
        <v>8</v>
      </c>
      <c r="G158" s="3" t="s">
        <v>293</v>
      </c>
      <c r="H158">
        <v>-1</v>
      </c>
      <c r="I158">
        <f>42/53</f>
        <v>0.79245283018867929</v>
      </c>
    </row>
    <row r="159" spans="1:9" x14ac:dyDescent="0.2">
      <c r="A159" s="2">
        <v>44759</v>
      </c>
      <c r="B159" s="3" t="s">
        <v>137</v>
      </c>
      <c r="C159" s="3" t="s">
        <v>286</v>
      </c>
      <c r="D159" s="3">
        <v>10</v>
      </c>
      <c r="E159" s="3">
        <v>1.5</v>
      </c>
      <c r="F159" s="3">
        <v>5</v>
      </c>
      <c r="G159" s="3" t="s">
        <v>292</v>
      </c>
      <c r="H159">
        <v>0.5</v>
      </c>
      <c r="I159">
        <f>14/23</f>
        <v>0.60869565217391308</v>
      </c>
    </row>
    <row r="160" spans="1:9" x14ac:dyDescent="0.2">
      <c r="A160" s="2">
        <v>44759</v>
      </c>
      <c r="B160" s="3" t="s">
        <v>138</v>
      </c>
      <c r="C160" s="3" t="s">
        <v>286</v>
      </c>
      <c r="D160" s="3">
        <v>10</v>
      </c>
      <c r="E160" s="3">
        <v>1.3</v>
      </c>
      <c r="F160" s="3">
        <v>3</v>
      </c>
      <c r="G160" s="3" t="s">
        <v>293</v>
      </c>
      <c r="H160">
        <v>-1</v>
      </c>
      <c r="I160">
        <f>41/67</f>
        <v>0.61194029850746268</v>
      </c>
    </row>
    <row r="161" spans="1:9" x14ac:dyDescent="0.2">
      <c r="A161" s="2">
        <v>44759</v>
      </c>
      <c r="B161" s="3" t="s">
        <v>15</v>
      </c>
      <c r="C161" s="3" t="s">
        <v>285</v>
      </c>
      <c r="D161" s="3">
        <v>10</v>
      </c>
      <c r="E161" s="3">
        <v>1.5</v>
      </c>
      <c r="F161" s="3">
        <v>5</v>
      </c>
      <c r="G161" s="3" t="s">
        <v>292</v>
      </c>
      <c r="H161">
        <v>0.5</v>
      </c>
      <c r="I161">
        <v>0.5625</v>
      </c>
    </row>
    <row r="162" spans="1:9" x14ac:dyDescent="0.2">
      <c r="A162" s="2">
        <v>44759</v>
      </c>
      <c r="B162" s="3" t="s">
        <v>305</v>
      </c>
      <c r="C162" s="3" t="s">
        <v>285</v>
      </c>
      <c r="D162" s="3">
        <v>10</v>
      </c>
      <c r="E162" s="3">
        <v>1.7</v>
      </c>
      <c r="F162" s="3">
        <v>7</v>
      </c>
      <c r="G162" s="3" t="s">
        <v>293</v>
      </c>
      <c r="H162">
        <v>-1</v>
      </c>
      <c r="I162">
        <f>52/88</f>
        <v>0.59090909090909094</v>
      </c>
    </row>
    <row r="163" spans="1:9" x14ac:dyDescent="0.2">
      <c r="A163" s="2">
        <v>44760</v>
      </c>
      <c r="B163" s="3" t="s">
        <v>135</v>
      </c>
      <c r="C163" s="3" t="s">
        <v>286</v>
      </c>
      <c r="D163" s="3">
        <v>10</v>
      </c>
      <c r="E163" s="3">
        <v>1.72</v>
      </c>
      <c r="F163" s="3">
        <v>7.1999999999999904</v>
      </c>
      <c r="G163" s="3" t="s">
        <v>293</v>
      </c>
      <c r="H163">
        <v>-1</v>
      </c>
      <c r="I163">
        <v>0.55384615384615388</v>
      </c>
    </row>
    <row r="164" spans="1:9" x14ac:dyDescent="0.2">
      <c r="A164" s="2">
        <v>44760</v>
      </c>
      <c r="B164" s="3" t="s">
        <v>139</v>
      </c>
      <c r="C164" s="3" t="s">
        <v>286</v>
      </c>
      <c r="D164" s="3">
        <v>10</v>
      </c>
      <c r="E164" s="3">
        <v>1.95</v>
      </c>
      <c r="F164" s="3">
        <v>9.5</v>
      </c>
      <c r="G164" s="3" t="s">
        <v>292</v>
      </c>
      <c r="H164">
        <v>0.95</v>
      </c>
      <c r="I164">
        <f>41/67</f>
        <v>0.61194029850746268</v>
      </c>
    </row>
    <row r="165" spans="1:9" x14ac:dyDescent="0.2">
      <c r="A165" s="2">
        <v>44761</v>
      </c>
      <c r="B165" s="3" t="s">
        <v>140</v>
      </c>
      <c r="C165" s="3" t="s">
        <v>285</v>
      </c>
      <c r="D165" s="3">
        <v>10</v>
      </c>
      <c r="E165" s="3">
        <v>1.9</v>
      </c>
      <c r="F165" s="3">
        <v>9</v>
      </c>
      <c r="G165" s="3" t="s">
        <v>292</v>
      </c>
      <c r="H165">
        <v>0.9</v>
      </c>
      <c r="I165">
        <f>27/46</f>
        <v>0.58695652173913049</v>
      </c>
    </row>
    <row r="166" spans="1:9" x14ac:dyDescent="0.2">
      <c r="A166" s="2">
        <v>44761</v>
      </c>
      <c r="B166" s="3" t="s">
        <v>141</v>
      </c>
      <c r="C166" s="3" t="s">
        <v>285</v>
      </c>
      <c r="D166" s="3">
        <v>10</v>
      </c>
      <c r="E166" s="3">
        <v>1.5</v>
      </c>
      <c r="F166" s="3">
        <v>5</v>
      </c>
      <c r="G166" s="3" t="s">
        <v>293</v>
      </c>
      <c r="H166">
        <v>-1</v>
      </c>
      <c r="I166">
        <f>34/66</f>
        <v>0.51515151515151514</v>
      </c>
    </row>
    <row r="167" spans="1:9" x14ac:dyDescent="0.2">
      <c r="A167" s="2">
        <v>44761</v>
      </c>
      <c r="B167" s="3" t="s">
        <v>101</v>
      </c>
      <c r="C167" s="3" t="s">
        <v>286</v>
      </c>
      <c r="D167" s="3">
        <v>10</v>
      </c>
      <c r="E167" s="3">
        <v>1.8</v>
      </c>
      <c r="F167" s="3">
        <v>8</v>
      </c>
      <c r="G167" s="3" t="s">
        <v>292</v>
      </c>
      <c r="H167">
        <v>0.8</v>
      </c>
      <c r="I167">
        <v>0.4107142857142857</v>
      </c>
    </row>
    <row r="168" spans="1:9" x14ac:dyDescent="0.2">
      <c r="A168" s="2">
        <v>44761</v>
      </c>
      <c r="B168" s="3" t="s">
        <v>142</v>
      </c>
      <c r="C168" s="3" t="s">
        <v>285</v>
      </c>
      <c r="D168" s="3">
        <v>10</v>
      </c>
      <c r="E168" s="3">
        <v>1.61</v>
      </c>
      <c r="F168" s="3">
        <v>6.1</v>
      </c>
      <c r="G168" s="3" t="s">
        <v>292</v>
      </c>
      <c r="H168">
        <v>0.61</v>
      </c>
      <c r="I168">
        <f>34/59</f>
        <v>0.57627118644067798</v>
      </c>
    </row>
    <row r="169" spans="1:9" x14ac:dyDescent="0.2">
      <c r="A169" s="2">
        <v>44761</v>
      </c>
      <c r="B169" s="3" t="s">
        <v>143</v>
      </c>
      <c r="C169" s="3" t="s">
        <v>285</v>
      </c>
      <c r="D169" s="3">
        <v>10</v>
      </c>
      <c r="E169" s="3">
        <v>1.5</v>
      </c>
      <c r="F169" s="3">
        <v>5</v>
      </c>
      <c r="G169" s="3" t="s">
        <v>292</v>
      </c>
      <c r="H169">
        <v>0.5</v>
      </c>
      <c r="I169">
        <f>24/50</f>
        <v>0.48</v>
      </c>
    </row>
    <row r="170" spans="1:9" x14ac:dyDescent="0.2">
      <c r="A170" s="2">
        <v>44761</v>
      </c>
      <c r="B170" s="3" t="s">
        <v>144</v>
      </c>
      <c r="C170" s="3" t="s">
        <v>285</v>
      </c>
      <c r="D170" s="3">
        <v>10</v>
      </c>
      <c r="E170" s="3">
        <v>1.61</v>
      </c>
      <c r="F170" s="3">
        <v>6.1</v>
      </c>
      <c r="G170" s="3" t="s">
        <v>292</v>
      </c>
      <c r="H170">
        <v>0.61</v>
      </c>
      <c r="I170">
        <f>38/61</f>
        <v>0.62295081967213117</v>
      </c>
    </row>
    <row r="171" spans="1:9" x14ac:dyDescent="0.2">
      <c r="A171" s="2">
        <v>44761</v>
      </c>
      <c r="B171" s="3" t="s">
        <v>145</v>
      </c>
      <c r="C171" s="3" t="s">
        <v>285</v>
      </c>
      <c r="D171" s="3">
        <v>10</v>
      </c>
      <c r="E171" s="3">
        <v>1.57</v>
      </c>
      <c r="F171" s="3">
        <v>5.7</v>
      </c>
      <c r="G171" s="3" t="s">
        <v>292</v>
      </c>
      <c r="H171">
        <v>0.57000000000000006</v>
      </c>
      <c r="I171">
        <f>40/64</f>
        <v>0.625</v>
      </c>
    </row>
    <row r="172" spans="1:9" x14ac:dyDescent="0.2">
      <c r="A172" s="2">
        <v>44761</v>
      </c>
      <c r="B172" s="3" t="s">
        <v>146</v>
      </c>
      <c r="C172" s="3" t="s">
        <v>285</v>
      </c>
      <c r="D172" s="3">
        <v>10</v>
      </c>
      <c r="E172" s="3">
        <v>1.53</v>
      </c>
      <c r="F172" s="3">
        <v>5.3</v>
      </c>
      <c r="G172" s="3" t="s">
        <v>293</v>
      </c>
      <c r="H172">
        <v>-1</v>
      </c>
      <c r="I172">
        <f>43/62</f>
        <v>0.69354838709677424</v>
      </c>
    </row>
    <row r="173" spans="1:9" x14ac:dyDescent="0.2">
      <c r="A173" s="2">
        <v>44761</v>
      </c>
      <c r="B173" s="3" t="s">
        <v>147</v>
      </c>
      <c r="C173" s="3" t="s">
        <v>285</v>
      </c>
      <c r="D173" s="3">
        <v>10</v>
      </c>
      <c r="E173" s="3">
        <v>1.5</v>
      </c>
      <c r="F173" s="3">
        <v>5</v>
      </c>
      <c r="G173" s="3" t="s">
        <v>293</v>
      </c>
      <c r="H173">
        <v>-1</v>
      </c>
      <c r="I173">
        <f>22/43</f>
        <v>0.51162790697674421</v>
      </c>
    </row>
    <row r="174" spans="1:9" x14ac:dyDescent="0.2">
      <c r="A174" s="2">
        <v>44762</v>
      </c>
      <c r="B174" s="3" t="s">
        <v>21</v>
      </c>
      <c r="C174" s="3" t="s">
        <v>286</v>
      </c>
      <c r="D174" s="3">
        <v>10</v>
      </c>
      <c r="E174" s="3">
        <v>1.25</v>
      </c>
      <c r="F174" s="3">
        <v>2.5</v>
      </c>
      <c r="G174" s="3" t="s">
        <v>292</v>
      </c>
      <c r="H174">
        <v>0.25</v>
      </c>
      <c r="I174">
        <f>43/60</f>
        <v>0.71666666666666667</v>
      </c>
    </row>
    <row r="175" spans="1:9" x14ac:dyDescent="0.2">
      <c r="A175" s="2">
        <v>44762</v>
      </c>
      <c r="B175" s="3" t="s">
        <v>148</v>
      </c>
      <c r="C175" s="3" t="s">
        <v>286</v>
      </c>
      <c r="D175" s="3">
        <v>10</v>
      </c>
      <c r="E175" s="3">
        <v>1.1100000000000001</v>
      </c>
      <c r="F175" s="3">
        <v>1.1000000000000001</v>
      </c>
      <c r="G175" s="3" t="s">
        <v>292</v>
      </c>
      <c r="H175">
        <v>0.11000000000000001</v>
      </c>
      <c r="I175">
        <f>50/72</f>
        <v>0.69444444444444442</v>
      </c>
    </row>
    <row r="176" spans="1:9" x14ac:dyDescent="0.2">
      <c r="A176" s="2">
        <v>44762</v>
      </c>
      <c r="B176" s="3" t="s">
        <v>149</v>
      </c>
      <c r="C176" s="3" t="s">
        <v>285</v>
      </c>
      <c r="D176" s="3">
        <v>10</v>
      </c>
      <c r="E176" s="3">
        <v>1.5</v>
      </c>
      <c r="F176" s="3">
        <v>5</v>
      </c>
      <c r="G176" s="3" t="s">
        <v>292</v>
      </c>
      <c r="H176">
        <v>0.5</v>
      </c>
      <c r="I176">
        <f>8/15</f>
        <v>0.53333333333333333</v>
      </c>
    </row>
    <row r="177" spans="1:9" x14ac:dyDescent="0.2">
      <c r="A177" s="2">
        <v>44763</v>
      </c>
      <c r="B177" s="3" t="s">
        <v>150</v>
      </c>
      <c r="C177" s="3" t="s">
        <v>285</v>
      </c>
      <c r="D177" s="3">
        <v>10</v>
      </c>
      <c r="E177" s="3">
        <v>1.8</v>
      </c>
      <c r="F177" s="3">
        <v>8</v>
      </c>
      <c r="G177" s="3" t="s">
        <v>292</v>
      </c>
      <c r="H177">
        <v>0.8</v>
      </c>
      <c r="I177">
        <f>25/53</f>
        <v>0.47169811320754718</v>
      </c>
    </row>
    <row r="178" spans="1:9" x14ac:dyDescent="0.2">
      <c r="A178" s="2">
        <v>44763</v>
      </c>
      <c r="B178" s="3" t="s">
        <v>133</v>
      </c>
      <c r="C178" s="3" t="s">
        <v>285</v>
      </c>
      <c r="D178" s="3">
        <v>10</v>
      </c>
      <c r="E178" s="3">
        <v>1.66</v>
      </c>
      <c r="F178" s="3">
        <v>6.5999999999999899</v>
      </c>
      <c r="G178" s="3" t="s">
        <v>292</v>
      </c>
      <c r="H178">
        <v>0.65999999999999903</v>
      </c>
      <c r="I178">
        <v>0.52173913043478259</v>
      </c>
    </row>
    <row r="179" spans="1:9" x14ac:dyDescent="0.2">
      <c r="A179" s="2">
        <v>44763</v>
      </c>
      <c r="B179" s="3" t="s">
        <v>151</v>
      </c>
      <c r="C179" s="3" t="s">
        <v>285</v>
      </c>
      <c r="D179" s="3">
        <v>10</v>
      </c>
      <c r="E179" s="3">
        <v>1.66</v>
      </c>
      <c r="F179" s="3">
        <v>6.5999999999999899</v>
      </c>
      <c r="G179" s="3" t="s">
        <v>292</v>
      </c>
      <c r="H179">
        <v>0.65999999999999903</v>
      </c>
      <c r="I179">
        <f>27/58</f>
        <v>0.46551724137931033</v>
      </c>
    </row>
    <row r="180" spans="1:9" x14ac:dyDescent="0.2">
      <c r="A180" s="2">
        <v>44763</v>
      </c>
      <c r="B180" s="3" t="s">
        <v>152</v>
      </c>
      <c r="C180" s="3" t="s">
        <v>286</v>
      </c>
      <c r="D180" s="3">
        <v>10</v>
      </c>
      <c r="E180" s="3">
        <v>1.9</v>
      </c>
      <c r="F180" s="3">
        <v>9</v>
      </c>
      <c r="G180" s="3" t="s">
        <v>293</v>
      </c>
      <c r="H180">
        <v>-1</v>
      </c>
      <c r="I180">
        <f>30/53</f>
        <v>0.56603773584905659</v>
      </c>
    </row>
    <row r="181" spans="1:9" x14ac:dyDescent="0.2">
      <c r="A181" s="2">
        <v>44763</v>
      </c>
      <c r="B181" s="3" t="s">
        <v>153</v>
      </c>
      <c r="C181" s="3" t="s">
        <v>285</v>
      </c>
      <c r="D181" s="3">
        <v>10</v>
      </c>
      <c r="E181" s="3">
        <v>1.53</v>
      </c>
      <c r="F181" s="3">
        <v>5.3</v>
      </c>
      <c r="G181" s="3" t="s">
        <v>292</v>
      </c>
      <c r="H181">
        <v>0.53</v>
      </c>
      <c r="I181">
        <f>57/74</f>
        <v>0.77027027027027029</v>
      </c>
    </row>
    <row r="182" spans="1:9" x14ac:dyDescent="0.2">
      <c r="A182" s="2">
        <v>44763</v>
      </c>
      <c r="B182" s="3" t="s">
        <v>154</v>
      </c>
      <c r="C182" s="3" t="s">
        <v>285</v>
      </c>
      <c r="D182" s="3">
        <v>10</v>
      </c>
      <c r="E182" s="3">
        <v>1.9</v>
      </c>
      <c r="F182" s="3">
        <v>9</v>
      </c>
      <c r="G182" s="3" t="s">
        <v>293</v>
      </c>
      <c r="H182">
        <v>-1</v>
      </c>
      <c r="I182">
        <f>38/65</f>
        <v>0.58461538461538465</v>
      </c>
    </row>
    <row r="183" spans="1:9" x14ac:dyDescent="0.2">
      <c r="A183" s="2">
        <v>44763</v>
      </c>
      <c r="B183" s="3" t="s">
        <v>125</v>
      </c>
      <c r="C183" s="3" t="s">
        <v>285</v>
      </c>
      <c r="D183" s="3">
        <v>10</v>
      </c>
      <c r="E183" s="3">
        <v>1.83</v>
      </c>
      <c r="F183" s="3">
        <v>8.3000000000000007</v>
      </c>
      <c r="G183" s="3" t="s">
        <v>293</v>
      </c>
      <c r="H183">
        <v>-1</v>
      </c>
      <c r="I183">
        <v>0.58823529411764708</v>
      </c>
    </row>
    <row r="184" spans="1:9" x14ac:dyDescent="0.2">
      <c r="A184" s="2">
        <v>44763</v>
      </c>
      <c r="B184" s="3" t="s">
        <v>155</v>
      </c>
      <c r="C184" s="3" t="s">
        <v>285</v>
      </c>
      <c r="D184" s="3">
        <v>10</v>
      </c>
      <c r="E184" s="3">
        <v>1.5</v>
      </c>
      <c r="F184" s="3">
        <v>5</v>
      </c>
      <c r="G184" s="3" t="s">
        <v>292</v>
      </c>
      <c r="H184">
        <v>0.5</v>
      </c>
      <c r="I184">
        <f>41/68</f>
        <v>0.6029411764705882</v>
      </c>
    </row>
    <row r="185" spans="1:9" x14ac:dyDescent="0.2">
      <c r="A185" s="2">
        <v>44763</v>
      </c>
      <c r="B185" s="3" t="s">
        <v>156</v>
      </c>
      <c r="C185" s="3" t="s">
        <v>285</v>
      </c>
      <c r="D185" s="3">
        <v>10</v>
      </c>
      <c r="E185" s="3">
        <v>1.5</v>
      </c>
      <c r="F185" s="3">
        <v>5</v>
      </c>
      <c r="G185" s="3" t="s">
        <v>292</v>
      </c>
      <c r="H185">
        <v>0.5</v>
      </c>
      <c r="I185">
        <f>44/75</f>
        <v>0.58666666666666667</v>
      </c>
    </row>
    <row r="186" spans="1:9" x14ac:dyDescent="0.2">
      <c r="A186" s="2">
        <v>44763</v>
      </c>
      <c r="B186" s="3" t="s">
        <v>47</v>
      </c>
      <c r="C186" s="3" t="s">
        <v>285</v>
      </c>
      <c r="D186" s="3">
        <v>10</v>
      </c>
      <c r="E186" s="3">
        <v>2</v>
      </c>
      <c r="F186" s="3">
        <v>10</v>
      </c>
      <c r="G186" s="3" t="s">
        <v>292</v>
      </c>
      <c r="H186">
        <v>1</v>
      </c>
      <c r="I186">
        <v>0.35714285714285715</v>
      </c>
    </row>
    <row r="187" spans="1:9" x14ac:dyDescent="0.2">
      <c r="A187" s="2">
        <v>44764</v>
      </c>
      <c r="B187" s="3" t="s">
        <v>153</v>
      </c>
      <c r="C187" s="3" t="s">
        <v>285</v>
      </c>
      <c r="D187" s="3">
        <v>10</v>
      </c>
      <c r="E187" s="3">
        <v>1.45</v>
      </c>
      <c r="F187" s="3">
        <v>4.5</v>
      </c>
      <c r="G187" s="3" t="s">
        <v>292</v>
      </c>
      <c r="H187">
        <v>0.45</v>
      </c>
      <c r="I187">
        <v>0.77027027027027029</v>
      </c>
    </row>
    <row r="188" spans="1:9" x14ac:dyDescent="0.2">
      <c r="A188" s="2">
        <v>44764</v>
      </c>
      <c r="B188" s="3" t="s">
        <v>157</v>
      </c>
      <c r="C188" s="3" t="s">
        <v>286</v>
      </c>
      <c r="D188" s="3">
        <v>10</v>
      </c>
      <c r="E188" s="3">
        <v>2.2000000000000002</v>
      </c>
      <c r="F188" s="3">
        <v>12</v>
      </c>
      <c r="G188" s="3" t="s">
        <v>293</v>
      </c>
      <c r="H188">
        <v>-1</v>
      </c>
      <c r="I188">
        <f>43/75</f>
        <v>0.57333333333333336</v>
      </c>
    </row>
    <row r="189" spans="1:9" x14ac:dyDescent="0.2">
      <c r="A189" s="2">
        <v>44764</v>
      </c>
      <c r="B189" s="3" t="s">
        <v>158</v>
      </c>
      <c r="C189" s="3" t="s">
        <v>285</v>
      </c>
      <c r="D189" s="3">
        <v>10</v>
      </c>
      <c r="E189" s="3">
        <v>1.8</v>
      </c>
      <c r="F189" s="3">
        <v>8</v>
      </c>
      <c r="G189" s="3" t="s">
        <v>293</v>
      </c>
      <c r="H189">
        <v>-1</v>
      </c>
      <c r="I189">
        <f>15/33</f>
        <v>0.45454545454545453</v>
      </c>
    </row>
    <row r="190" spans="1:9" x14ac:dyDescent="0.2">
      <c r="A190" s="2">
        <v>44764</v>
      </c>
      <c r="B190" s="3" t="s">
        <v>159</v>
      </c>
      <c r="C190" s="3" t="s">
        <v>286</v>
      </c>
      <c r="D190" s="3">
        <v>10</v>
      </c>
      <c r="E190" s="3">
        <v>1.61</v>
      </c>
      <c r="F190" s="3">
        <v>6.1</v>
      </c>
      <c r="G190" s="3" t="s">
        <v>292</v>
      </c>
      <c r="H190">
        <v>0.61</v>
      </c>
      <c r="I190">
        <f>35/61</f>
        <v>0.57377049180327866</v>
      </c>
    </row>
    <row r="191" spans="1:9" x14ac:dyDescent="0.2">
      <c r="A191" s="2">
        <v>44764</v>
      </c>
      <c r="B191" s="3" t="s">
        <v>35</v>
      </c>
      <c r="C191" s="3" t="s">
        <v>285</v>
      </c>
      <c r="D191" s="3">
        <v>10</v>
      </c>
      <c r="E191" s="3">
        <v>1.61</v>
      </c>
      <c r="F191" s="3">
        <v>6.1</v>
      </c>
      <c r="G191" s="3" t="s">
        <v>293</v>
      </c>
      <c r="H191">
        <v>-1</v>
      </c>
      <c r="I191">
        <v>0.59340659340659341</v>
      </c>
    </row>
    <row r="192" spans="1:9" x14ac:dyDescent="0.2">
      <c r="A192" s="2">
        <v>44764</v>
      </c>
      <c r="B192" s="3" t="s">
        <v>306</v>
      </c>
      <c r="C192" s="3" t="s">
        <v>285</v>
      </c>
      <c r="D192" s="3">
        <v>10</v>
      </c>
      <c r="E192" s="3">
        <v>1.61</v>
      </c>
      <c r="F192" s="3">
        <v>6.1</v>
      </c>
      <c r="G192" s="3" t="s">
        <v>292</v>
      </c>
      <c r="H192">
        <v>0.61</v>
      </c>
      <c r="I192">
        <f>21/37</f>
        <v>0.56756756756756754</v>
      </c>
    </row>
    <row r="193" spans="1:9" x14ac:dyDescent="0.2">
      <c r="A193" s="2">
        <v>44764</v>
      </c>
      <c r="B193" s="3" t="s">
        <v>150</v>
      </c>
      <c r="C193" s="3" t="s">
        <v>286</v>
      </c>
      <c r="D193" s="3">
        <v>10</v>
      </c>
      <c r="E193" s="3">
        <v>1.83</v>
      </c>
      <c r="F193" s="3">
        <v>8.3000000000000007</v>
      </c>
      <c r="G193" s="3" t="s">
        <v>293</v>
      </c>
      <c r="H193">
        <v>-1</v>
      </c>
      <c r="I193">
        <f>25/53</f>
        <v>0.47169811320754718</v>
      </c>
    </row>
    <row r="194" spans="1:9" x14ac:dyDescent="0.2">
      <c r="A194" s="2">
        <v>44764</v>
      </c>
      <c r="B194" s="3" t="s">
        <v>160</v>
      </c>
      <c r="C194" s="3" t="s">
        <v>286</v>
      </c>
      <c r="D194" s="3">
        <v>10</v>
      </c>
      <c r="E194" s="3">
        <v>1.57</v>
      </c>
      <c r="F194" s="3">
        <v>5.7</v>
      </c>
      <c r="G194" s="3" t="s">
        <v>293</v>
      </c>
      <c r="H194">
        <v>-1</v>
      </c>
      <c r="I194">
        <f>13/24</f>
        <v>0.54166666666666663</v>
      </c>
    </row>
    <row r="195" spans="1:9" x14ac:dyDescent="0.2">
      <c r="A195" s="2">
        <v>44765</v>
      </c>
      <c r="B195" s="3" t="s">
        <v>82</v>
      </c>
      <c r="C195" s="3" t="s">
        <v>286</v>
      </c>
      <c r="D195" s="3">
        <v>10</v>
      </c>
      <c r="E195" s="3">
        <v>1.53</v>
      </c>
      <c r="F195" s="3">
        <v>5.3</v>
      </c>
      <c r="G195" s="3" t="s">
        <v>292</v>
      </c>
      <c r="H195">
        <v>0.53</v>
      </c>
      <c r="I195">
        <v>0.73529411764705888</v>
      </c>
    </row>
    <row r="196" spans="1:9" x14ac:dyDescent="0.2">
      <c r="A196" s="2">
        <v>44765</v>
      </c>
      <c r="B196" s="3" t="s">
        <v>161</v>
      </c>
      <c r="C196" s="3" t="s">
        <v>286</v>
      </c>
      <c r="D196" s="3">
        <v>10</v>
      </c>
      <c r="E196" s="3">
        <v>1.7</v>
      </c>
      <c r="F196" s="3">
        <v>7</v>
      </c>
      <c r="G196" s="3" t="s">
        <v>293</v>
      </c>
      <c r="H196">
        <v>-1</v>
      </c>
      <c r="I196">
        <f>2/10</f>
        <v>0.2</v>
      </c>
    </row>
    <row r="197" spans="1:9" x14ac:dyDescent="0.2">
      <c r="A197" s="2">
        <v>44765</v>
      </c>
      <c r="B197" s="3" t="s">
        <v>162</v>
      </c>
      <c r="C197" s="3" t="s">
        <v>285</v>
      </c>
      <c r="D197" s="3">
        <v>10</v>
      </c>
      <c r="E197" s="3">
        <v>1.57</v>
      </c>
      <c r="F197" s="3">
        <v>5.7</v>
      </c>
      <c r="G197" s="3" t="s">
        <v>292</v>
      </c>
      <c r="H197">
        <v>0.57000000000000006</v>
      </c>
      <c r="I197">
        <f>41/72</f>
        <v>0.56944444444444442</v>
      </c>
    </row>
    <row r="198" spans="1:9" x14ac:dyDescent="0.2">
      <c r="A198" s="2">
        <v>44765</v>
      </c>
      <c r="B198" s="3" t="s">
        <v>163</v>
      </c>
      <c r="C198" s="3" t="s">
        <v>285</v>
      </c>
      <c r="D198" s="3">
        <v>10</v>
      </c>
      <c r="E198" s="3">
        <v>1.9</v>
      </c>
      <c r="F198" s="3">
        <v>9</v>
      </c>
      <c r="G198" s="3" t="s">
        <v>293</v>
      </c>
      <c r="H198">
        <v>-1</v>
      </c>
      <c r="I198">
        <f>36/59</f>
        <v>0.61016949152542377</v>
      </c>
    </row>
    <row r="199" spans="1:9" x14ac:dyDescent="0.2">
      <c r="A199" s="2">
        <v>44765</v>
      </c>
      <c r="B199" s="3" t="s">
        <v>151</v>
      </c>
      <c r="C199" s="3" t="s">
        <v>285</v>
      </c>
      <c r="D199" s="3">
        <v>10</v>
      </c>
      <c r="E199" s="3">
        <v>1.72</v>
      </c>
      <c r="F199" s="3">
        <v>7.1999999999999904</v>
      </c>
      <c r="G199" s="3" t="s">
        <v>292</v>
      </c>
      <c r="H199">
        <v>0.71999999999999909</v>
      </c>
      <c r="I199">
        <v>0.46551724137931033</v>
      </c>
    </row>
    <row r="200" spans="1:9" x14ac:dyDescent="0.2">
      <c r="A200" s="2">
        <v>44765</v>
      </c>
      <c r="B200" s="3" t="s">
        <v>164</v>
      </c>
      <c r="C200" s="3" t="s">
        <v>285</v>
      </c>
      <c r="D200" s="3">
        <v>10</v>
      </c>
      <c r="E200" s="3">
        <v>1.8</v>
      </c>
      <c r="F200" s="3">
        <v>8</v>
      </c>
      <c r="G200" s="3" t="s">
        <v>292</v>
      </c>
      <c r="H200">
        <v>0.8</v>
      </c>
      <c r="I200">
        <f>34/57</f>
        <v>0.59649122807017541</v>
      </c>
    </row>
    <row r="201" spans="1:9" x14ac:dyDescent="0.2">
      <c r="A201" s="2">
        <v>44765</v>
      </c>
      <c r="B201" s="3" t="s">
        <v>165</v>
      </c>
      <c r="C201" s="3" t="s">
        <v>285</v>
      </c>
      <c r="D201" s="3">
        <v>10</v>
      </c>
      <c r="E201" s="3">
        <v>1.44</v>
      </c>
      <c r="F201" s="3">
        <v>4.3999999999999897</v>
      </c>
      <c r="G201" s="3" t="s">
        <v>292</v>
      </c>
      <c r="H201">
        <v>0.43999999999999895</v>
      </c>
      <c r="I201">
        <f>40/73</f>
        <v>0.54794520547945202</v>
      </c>
    </row>
    <row r="202" spans="1:9" x14ac:dyDescent="0.2">
      <c r="A202" s="2">
        <v>44766</v>
      </c>
      <c r="B202" s="3" t="s">
        <v>307</v>
      </c>
      <c r="C202" s="3" t="s">
        <v>286</v>
      </c>
      <c r="D202" s="3">
        <v>10</v>
      </c>
      <c r="E202" s="3">
        <v>1.9</v>
      </c>
      <c r="F202" s="3">
        <v>9</v>
      </c>
      <c r="G202" s="3" t="s">
        <v>292</v>
      </c>
      <c r="H202">
        <v>0.9</v>
      </c>
      <c r="I202">
        <f>42/72</f>
        <v>0.58333333333333337</v>
      </c>
    </row>
    <row r="203" spans="1:9" x14ac:dyDescent="0.2">
      <c r="A203" s="2">
        <v>44766</v>
      </c>
      <c r="B203" s="3" t="s">
        <v>166</v>
      </c>
      <c r="C203" s="3" t="s">
        <v>286</v>
      </c>
      <c r="D203" s="3">
        <v>10</v>
      </c>
      <c r="E203" s="3">
        <v>1.9</v>
      </c>
      <c r="F203" s="3">
        <v>9</v>
      </c>
      <c r="G203" s="3" t="s">
        <v>292</v>
      </c>
      <c r="H203">
        <v>0.9</v>
      </c>
      <c r="I203">
        <f>26/55</f>
        <v>0.47272727272727272</v>
      </c>
    </row>
    <row r="204" spans="1:9" x14ac:dyDescent="0.2">
      <c r="A204" s="2">
        <v>44766</v>
      </c>
      <c r="B204" s="3" t="s">
        <v>39</v>
      </c>
      <c r="C204" s="3" t="s">
        <v>285</v>
      </c>
      <c r="D204" s="3">
        <v>10</v>
      </c>
      <c r="E204" s="3">
        <v>1.75</v>
      </c>
      <c r="F204" s="3">
        <v>7.5</v>
      </c>
      <c r="G204" s="3" t="s">
        <v>292</v>
      </c>
      <c r="H204">
        <v>0.75</v>
      </c>
      <c r="I204">
        <v>0.49180327868852458</v>
      </c>
    </row>
    <row r="205" spans="1:9" x14ac:dyDescent="0.2">
      <c r="A205" s="2">
        <v>44766</v>
      </c>
      <c r="B205" s="3" t="s">
        <v>167</v>
      </c>
      <c r="C205" s="3" t="s">
        <v>285</v>
      </c>
      <c r="D205" s="3">
        <v>10</v>
      </c>
      <c r="E205" s="3">
        <v>1.66</v>
      </c>
      <c r="F205" s="3">
        <v>6.5999999999999899</v>
      </c>
      <c r="G205" s="3" t="s">
        <v>292</v>
      </c>
      <c r="H205">
        <v>0.65999999999999903</v>
      </c>
      <c r="I205">
        <f>22/33</f>
        <v>0.66666666666666663</v>
      </c>
    </row>
    <row r="206" spans="1:9" x14ac:dyDescent="0.2">
      <c r="A206" s="2">
        <v>44766</v>
      </c>
      <c r="B206" s="3" t="s">
        <v>168</v>
      </c>
      <c r="C206" s="3" t="s">
        <v>285</v>
      </c>
      <c r="D206" s="3">
        <v>10</v>
      </c>
      <c r="E206" s="3">
        <v>1.8</v>
      </c>
      <c r="F206" s="3">
        <v>8</v>
      </c>
      <c r="G206" s="3" t="s">
        <v>293</v>
      </c>
      <c r="H206">
        <v>-1</v>
      </c>
      <c r="I206">
        <f>52/83</f>
        <v>0.62650602409638556</v>
      </c>
    </row>
    <row r="207" spans="1:9" x14ac:dyDescent="0.2">
      <c r="A207" s="2">
        <v>44766</v>
      </c>
      <c r="B207" s="3" t="s">
        <v>169</v>
      </c>
      <c r="C207" s="3" t="s">
        <v>285</v>
      </c>
      <c r="D207" s="3">
        <v>10</v>
      </c>
      <c r="E207" s="3">
        <v>1.7</v>
      </c>
      <c r="F207" s="3">
        <v>7</v>
      </c>
      <c r="G207" s="3" t="s">
        <v>292</v>
      </c>
      <c r="H207">
        <v>0.7</v>
      </c>
      <c r="I207">
        <f>12/25</f>
        <v>0.48</v>
      </c>
    </row>
    <row r="208" spans="1:9" x14ac:dyDescent="0.2">
      <c r="A208" s="2">
        <v>44766</v>
      </c>
      <c r="B208" s="3" t="s">
        <v>170</v>
      </c>
      <c r="C208" s="3" t="s">
        <v>285</v>
      </c>
      <c r="D208" s="3">
        <v>10</v>
      </c>
      <c r="E208" s="3">
        <v>1.44</v>
      </c>
      <c r="F208" s="3">
        <v>4.3999999999999897</v>
      </c>
      <c r="G208" s="3" t="s">
        <v>293</v>
      </c>
      <c r="H208">
        <v>-1</v>
      </c>
      <c r="I208">
        <f>42/71</f>
        <v>0.59154929577464788</v>
      </c>
    </row>
    <row r="209" spans="1:9" x14ac:dyDescent="0.2">
      <c r="A209" s="2">
        <v>44766</v>
      </c>
      <c r="B209" s="3" t="s">
        <v>171</v>
      </c>
      <c r="C209" s="3" t="s">
        <v>285</v>
      </c>
      <c r="D209" s="3">
        <v>10</v>
      </c>
      <c r="E209" s="3">
        <v>2.1</v>
      </c>
      <c r="F209" s="3">
        <v>11</v>
      </c>
      <c r="G209" s="3" t="s">
        <v>292</v>
      </c>
      <c r="H209">
        <v>1.1000000000000001</v>
      </c>
      <c r="I209">
        <f>53/74</f>
        <v>0.71621621621621623</v>
      </c>
    </row>
    <row r="210" spans="1:9" x14ac:dyDescent="0.2">
      <c r="A210" s="2">
        <v>44766</v>
      </c>
      <c r="B210" s="3" t="s">
        <v>172</v>
      </c>
      <c r="C210" s="3" t="s">
        <v>285</v>
      </c>
      <c r="D210" s="3">
        <v>10</v>
      </c>
      <c r="E210" s="3">
        <v>2.1</v>
      </c>
      <c r="F210" s="3">
        <v>11</v>
      </c>
      <c r="G210" s="3" t="s">
        <v>293</v>
      </c>
      <c r="H210">
        <v>-1</v>
      </c>
      <c r="I210">
        <f>19/39</f>
        <v>0.48717948717948717</v>
      </c>
    </row>
    <row r="211" spans="1:9" x14ac:dyDescent="0.2">
      <c r="A211" s="2">
        <v>44766</v>
      </c>
      <c r="B211" s="3" t="s">
        <v>308</v>
      </c>
      <c r="C211" s="3" t="s">
        <v>285</v>
      </c>
      <c r="D211" s="3">
        <v>10</v>
      </c>
      <c r="E211" s="3">
        <v>1.9</v>
      </c>
      <c r="F211" s="3">
        <v>9</v>
      </c>
      <c r="G211" s="3" t="s">
        <v>293</v>
      </c>
      <c r="H211">
        <v>-1</v>
      </c>
      <c r="I211">
        <f>66/89</f>
        <v>0.7415730337078652</v>
      </c>
    </row>
    <row r="212" spans="1:9" x14ac:dyDescent="0.2">
      <c r="A212" s="2">
        <v>44767</v>
      </c>
      <c r="B212" s="3" t="s">
        <v>173</v>
      </c>
      <c r="C212" s="3" t="s">
        <v>286</v>
      </c>
      <c r="D212" s="3">
        <v>10</v>
      </c>
      <c r="E212" s="3">
        <v>1.8</v>
      </c>
      <c r="F212" s="3">
        <v>8</v>
      </c>
      <c r="G212" s="3" t="s">
        <v>293</v>
      </c>
      <c r="H212">
        <v>-1</v>
      </c>
      <c r="I212">
        <f>29/52</f>
        <v>0.55769230769230771</v>
      </c>
    </row>
    <row r="213" spans="1:9" x14ac:dyDescent="0.2">
      <c r="A213" s="2">
        <v>44767</v>
      </c>
      <c r="B213" s="3" t="s">
        <v>139</v>
      </c>
      <c r="C213" s="3" t="s">
        <v>286</v>
      </c>
      <c r="D213" s="3">
        <v>10</v>
      </c>
      <c r="E213" s="3">
        <v>1.57</v>
      </c>
      <c r="F213" s="3">
        <v>5.7</v>
      </c>
      <c r="G213" s="3" t="s">
        <v>292</v>
      </c>
      <c r="H213">
        <v>0.57000000000000006</v>
      </c>
      <c r="I213">
        <v>0.61194029850746268</v>
      </c>
    </row>
    <row r="214" spans="1:9" x14ac:dyDescent="0.2">
      <c r="A214" s="2">
        <v>44767</v>
      </c>
      <c r="B214" s="3" t="s">
        <v>174</v>
      </c>
      <c r="C214" s="3" t="s">
        <v>286</v>
      </c>
      <c r="D214" s="3">
        <v>10</v>
      </c>
      <c r="E214" s="3">
        <v>1.61</v>
      </c>
      <c r="F214" s="3">
        <v>6.1</v>
      </c>
      <c r="G214" s="3" t="s">
        <v>293</v>
      </c>
      <c r="H214">
        <v>-1</v>
      </c>
      <c r="I214">
        <f>14/29</f>
        <v>0.48275862068965519</v>
      </c>
    </row>
    <row r="215" spans="1:9" x14ac:dyDescent="0.2">
      <c r="A215" s="2">
        <v>44767</v>
      </c>
      <c r="B215" s="3" t="s">
        <v>39</v>
      </c>
      <c r="C215" s="3" t="s">
        <v>285</v>
      </c>
      <c r="D215" s="3">
        <v>10</v>
      </c>
      <c r="E215" s="3">
        <v>1.9</v>
      </c>
      <c r="F215" s="3">
        <v>9</v>
      </c>
      <c r="G215" s="3" t="s">
        <v>292</v>
      </c>
      <c r="H215">
        <v>0.9</v>
      </c>
      <c r="I215">
        <v>0.49180327868852458</v>
      </c>
    </row>
    <row r="216" spans="1:9" x14ac:dyDescent="0.2">
      <c r="A216" s="2">
        <v>44767</v>
      </c>
      <c r="B216" s="3" t="s">
        <v>175</v>
      </c>
      <c r="C216" s="3" t="s">
        <v>286</v>
      </c>
      <c r="D216" s="3">
        <v>10</v>
      </c>
      <c r="E216" s="3">
        <v>1.57</v>
      </c>
      <c r="F216" s="3">
        <v>5.7</v>
      </c>
      <c r="G216" s="3" t="s">
        <v>293</v>
      </c>
      <c r="H216">
        <v>-1</v>
      </c>
      <c r="I216">
        <f>26/55</f>
        <v>0.47272727272727272</v>
      </c>
    </row>
    <row r="217" spans="1:9" x14ac:dyDescent="0.2">
      <c r="A217" s="2">
        <v>44768</v>
      </c>
      <c r="B217" s="3" t="s">
        <v>176</v>
      </c>
      <c r="C217" s="3" t="s">
        <v>285</v>
      </c>
      <c r="D217" s="3">
        <v>10</v>
      </c>
      <c r="E217" s="3">
        <v>1.25</v>
      </c>
      <c r="F217" s="3">
        <v>2.5</v>
      </c>
      <c r="G217" s="3" t="s">
        <v>292</v>
      </c>
      <c r="H217">
        <v>0.25</v>
      </c>
      <c r="I217">
        <f>54/74</f>
        <v>0.72972972972972971</v>
      </c>
    </row>
    <row r="218" spans="1:9" x14ac:dyDescent="0.2">
      <c r="A218" s="2">
        <v>44768</v>
      </c>
      <c r="B218" s="3" t="s">
        <v>177</v>
      </c>
      <c r="C218" s="3" t="s">
        <v>285</v>
      </c>
      <c r="D218" s="3">
        <v>10</v>
      </c>
      <c r="E218" s="3">
        <v>1.5</v>
      </c>
      <c r="F218" s="3">
        <v>5</v>
      </c>
      <c r="G218" s="3" t="s">
        <v>292</v>
      </c>
      <c r="H218">
        <v>0.5</v>
      </c>
      <c r="I218">
        <f>28/55</f>
        <v>0.50909090909090904</v>
      </c>
    </row>
    <row r="219" spans="1:9" x14ac:dyDescent="0.2">
      <c r="A219" s="2">
        <v>44768</v>
      </c>
      <c r="B219" s="3" t="s">
        <v>178</v>
      </c>
      <c r="C219" s="3" t="s">
        <v>285</v>
      </c>
      <c r="D219" s="3">
        <v>10</v>
      </c>
      <c r="E219" s="3">
        <v>1.5</v>
      </c>
      <c r="F219" s="3">
        <v>5</v>
      </c>
      <c r="G219" s="3" t="s">
        <v>292</v>
      </c>
      <c r="H219">
        <v>0.5</v>
      </c>
      <c r="I219">
        <f>49/70</f>
        <v>0.7</v>
      </c>
    </row>
    <row r="220" spans="1:9" x14ac:dyDescent="0.2">
      <c r="A220" s="2">
        <v>44768</v>
      </c>
      <c r="B220" s="3" t="s">
        <v>179</v>
      </c>
      <c r="C220" s="3" t="s">
        <v>286</v>
      </c>
      <c r="D220" s="3">
        <v>10</v>
      </c>
      <c r="E220" s="3">
        <v>2.2000000000000002</v>
      </c>
      <c r="F220" s="3">
        <v>12</v>
      </c>
      <c r="G220" s="3" t="s">
        <v>293</v>
      </c>
      <c r="H220">
        <v>-1</v>
      </c>
      <c r="I220">
        <f>32/62</f>
        <v>0.5161290322580645</v>
      </c>
    </row>
    <row r="221" spans="1:9" x14ac:dyDescent="0.2">
      <c r="A221" s="2">
        <v>44768</v>
      </c>
      <c r="B221" s="3" t="s">
        <v>180</v>
      </c>
      <c r="C221" s="3" t="s">
        <v>286</v>
      </c>
      <c r="D221" s="3">
        <v>10</v>
      </c>
      <c r="E221" s="3">
        <v>1.5</v>
      </c>
      <c r="F221" s="3">
        <v>5</v>
      </c>
      <c r="G221" s="3" t="s">
        <v>292</v>
      </c>
      <c r="H221">
        <v>0.5</v>
      </c>
      <c r="I221">
        <f>20/31</f>
        <v>0.64516129032258063</v>
      </c>
    </row>
    <row r="222" spans="1:9" x14ac:dyDescent="0.2">
      <c r="A222" s="2">
        <v>44768</v>
      </c>
      <c r="B222" s="3" t="s">
        <v>181</v>
      </c>
      <c r="C222" s="3" t="s">
        <v>286</v>
      </c>
      <c r="D222" s="3">
        <v>10</v>
      </c>
      <c r="E222" s="3">
        <v>1.66</v>
      </c>
      <c r="F222" s="3">
        <v>6.5999999999999899</v>
      </c>
      <c r="G222" s="3" t="s">
        <v>293</v>
      </c>
      <c r="H222">
        <v>-1</v>
      </c>
      <c r="I222">
        <f>46/71</f>
        <v>0.647887323943662</v>
      </c>
    </row>
    <row r="223" spans="1:9" x14ac:dyDescent="0.2">
      <c r="A223" s="2">
        <v>44768</v>
      </c>
      <c r="B223" s="3" t="s">
        <v>101</v>
      </c>
      <c r="C223" s="3" t="s">
        <v>285</v>
      </c>
      <c r="D223" s="3">
        <v>10</v>
      </c>
      <c r="E223" s="3">
        <v>1.9</v>
      </c>
      <c r="F223" s="3">
        <v>9</v>
      </c>
      <c r="G223" s="3" t="s">
        <v>292</v>
      </c>
      <c r="H223">
        <v>0.9</v>
      </c>
      <c r="I223">
        <v>0.4107142857142857</v>
      </c>
    </row>
    <row r="224" spans="1:9" x14ac:dyDescent="0.2">
      <c r="A224" s="2">
        <v>44768</v>
      </c>
      <c r="B224" s="3" t="s">
        <v>69</v>
      </c>
      <c r="C224" s="3" t="s">
        <v>285</v>
      </c>
      <c r="D224" s="3">
        <v>10</v>
      </c>
      <c r="E224" s="3">
        <v>1.95</v>
      </c>
      <c r="F224" s="3">
        <v>9.5</v>
      </c>
      <c r="G224" s="3" t="s">
        <v>293</v>
      </c>
      <c r="H224">
        <v>-1</v>
      </c>
      <c r="I224">
        <v>0.63513513513513509</v>
      </c>
    </row>
    <row r="225" spans="1:9" x14ac:dyDescent="0.2">
      <c r="A225" s="2">
        <v>44768</v>
      </c>
      <c r="B225" s="3" t="s">
        <v>170</v>
      </c>
      <c r="C225" s="3" t="s">
        <v>285</v>
      </c>
      <c r="D225" s="3">
        <v>10</v>
      </c>
      <c r="E225" s="3">
        <v>1.4</v>
      </c>
      <c r="F225" s="3">
        <v>4</v>
      </c>
      <c r="G225" s="3" t="s">
        <v>292</v>
      </c>
      <c r="H225">
        <v>0.4</v>
      </c>
      <c r="I225">
        <v>0.59154929577464788</v>
      </c>
    </row>
    <row r="226" spans="1:9" x14ac:dyDescent="0.2">
      <c r="A226" s="2">
        <v>44768</v>
      </c>
      <c r="B226" s="3" t="s">
        <v>182</v>
      </c>
      <c r="C226" s="3" t="s">
        <v>285</v>
      </c>
      <c r="D226" s="3">
        <v>10</v>
      </c>
      <c r="E226" s="3">
        <v>1.5</v>
      </c>
      <c r="F226" s="3">
        <v>5</v>
      </c>
      <c r="G226" s="3" t="s">
        <v>293</v>
      </c>
      <c r="H226">
        <v>-1</v>
      </c>
      <c r="I226">
        <f>35/65</f>
        <v>0.53846153846153844</v>
      </c>
    </row>
    <row r="227" spans="1:9" x14ac:dyDescent="0.2">
      <c r="A227" s="2">
        <v>44768</v>
      </c>
      <c r="B227" s="3" t="s">
        <v>183</v>
      </c>
      <c r="C227" s="3" t="s">
        <v>285</v>
      </c>
      <c r="D227" s="3">
        <v>10</v>
      </c>
      <c r="E227" s="3">
        <v>1.7</v>
      </c>
      <c r="F227" s="3">
        <v>7</v>
      </c>
      <c r="G227" s="3" t="s">
        <v>293</v>
      </c>
      <c r="H227">
        <v>-1</v>
      </c>
      <c r="I227">
        <f>36/55</f>
        <v>0.65454545454545454</v>
      </c>
    </row>
    <row r="228" spans="1:9" x14ac:dyDescent="0.2">
      <c r="A228" s="2">
        <v>44768</v>
      </c>
      <c r="B228" s="3" t="s">
        <v>184</v>
      </c>
      <c r="C228" s="3" t="s">
        <v>286</v>
      </c>
      <c r="D228" s="3">
        <v>10</v>
      </c>
      <c r="E228" s="3">
        <v>1.36</v>
      </c>
      <c r="F228" s="3">
        <v>3.6</v>
      </c>
      <c r="G228" s="3" t="s">
        <v>293</v>
      </c>
      <c r="H228">
        <v>-1</v>
      </c>
      <c r="I228">
        <f>44/70</f>
        <v>0.62857142857142856</v>
      </c>
    </row>
    <row r="229" spans="1:9" x14ac:dyDescent="0.2">
      <c r="A229" s="2">
        <v>44768</v>
      </c>
      <c r="B229" s="3" t="s">
        <v>185</v>
      </c>
      <c r="C229" s="3" t="s">
        <v>286</v>
      </c>
      <c r="D229" s="3">
        <v>10</v>
      </c>
      <c r="E229" s="3">
        <v>1.36</v>
      </c>
      <c r="F229" s="3">
        <v>3.6</v>
      </c>
      <c r="G229" s="3" t="s">
        <v>293</v>
      </c>
      <c r="H229">
        <v>-1</v>
      </c>
      <c r="I229">
        <f>35/60</f>
        <v>0.58333333333333337</v>
      </c>
    </row>
    <row r="230" spans="1:9" x14ac:dyDescent="0.2">
      <c r="A230" s="2">
        <v>44768</v>
      </c>
      <c r="B230" s="3" t="s">
        <v>186</v>
      </c>
      <c r="C230" s="3" t="s">
        <v>286</v>
      </c>
      <c r="D230" s="3">
        <v>10</v>
      </c>
      <c r="E230" s="3">
        <v>1.22</v>
      </c>
      <c r="F230" s="3">
        <v>2.19999999999999</v>
      </c>
      <c r="G230" s="3" t="s">
        <v>292</v>
      </c>
      <c r="H230">
        <v>0.219999999999999</v>
      </c>
      <c r="I230">
        <f>14/32</f>
        <v>0.4375</v>
      </c>
    </row>
    <row r="231" spans="1:9" x14ac:dyDescent="0.2">
      <c r="A231" s="2">
        <v>44769</v>
      </c>
      <c r="B231" s="3" t="s">
        <v>187</v>
      </c>
      <c r="C231" s="3" t="s">
        <v>286</v>
      </c>
      <c r="D231" s="3">
        <v>10</v>
      </c>
      <c r="E231" s="3">
        <v>1.61</v>
      </c>
      <c r="F231" s="3">
        <v>6.1</v>
      </c>
      <c r="G231" s="3" t="s">
        <v>292</v>
      </c>
      <c r="H231">
        <v>0.61</v>
      </c>
      <c r="I231">
        <f>47/75</f>
        <v>0.62666666666666671</v>
      </c>
    </row>
    <row r="232" spans="1:9" x14ac:dyDescent="0.2">
      <c r="A232" s="2">
        <v>44769</v>
      </c>
      <c r="B232" s="3" t="s">
        <v>5</v>
      </c>
      <c r="C232" s="3" t="s">
        <v>285</v>
      </c>
      <c r="D232" s="3">
        <v>10</v>
      </c>
      <c r="E232" s="3">
        <v>1.57</v>
      </c>
      <c r="F232" s="3">
        <v>5.7</v>
      </c>
      <c r="G232" s="3" t="s">
        <v>292</v>
      </c>
      <c r="H232">
        <v>0.57000000000000006</v>
      </c>
      <c r="I232">
        <v>0.44444444444444442</v>
      </c>
    </row>
    <row r="233" spans="1:9" x14ac:dyDescent="0.2">
      <c r="A233" s="2">
        <v>44769</v>
      </c>
      <c r="B233" s="3" t="s">
        <v>188</v>
      </c>
      <c r="C233" s="3" t="s">
        <v>285</v>
      </c>
      <c r="D233" s="3">
        <v>10</v>
      </c>
      <c r="E233" s="3">
        <v>1.66</v>
      </c>
      <c r="F233" s="3">
        <v>6.5999999999999899</v>
      </c>
      <c r="G233" s="3" t="s">
        <v>293</v>
      </c>
      <c r="H233">
        <v>-1</v>
      </c>
      <c r="I233">
        <f>56/88</f>
        <v>0.63636363636363635</v>
      </c>
    </row>
    <row r="234" spans="1:9" x14ac:dyDescent="0.2">
      <c r="A234" s="2">
        <v>44769</v>
      </c>
      <c r="B234" s="3" t="s">
        <v>189</v>
      </c>
      <c r="C234" s="3" t="s">
        <v>285</v>
      </c>
      <c r="D234" s="3">
        <v>10</v>
      </c>
      <c r="E234" s="3">
        <v>1.53</v>
      </c>
      <c r="F234" s="3">
        <v>5.3</v>
      </c>
      <c r="G234" s="3" t="s">
        <v>292</v>
      </c>
      <c r="H234">
        <v>0.53</v>
      </c>
      <c r="I234">
        <f>38/65</f>
        <v>0.58461538461538465</v>
      </c>
    </row>
    <row r="235" spans="1:9" x14ac:dyDescent="0.2">
      <c r="A235" s="2">
        <v>44769</v>
      </c>
      <c r="B235" s="3" t="s">
        <v>190</v>
      </c>
      <c r="C235" s="3" t="s">
        <v>285</v>
      </c>
      <c r="D235" s="3">
        <v>10</v>
      </c>
      <c r="E235" s="3">
        <v>3.25</v>
      </c>
      <c r="F235" s="3">
        <v>22.5</v>
      </c>
      <c r="G235" s="3" t="s">
        <v>293</v>
      </c>
      <c r="H235">
        <v>-1</v>
      </c>
      <c r="I235">
        <f>38/58</f>
        <v>0.65517241379310343</v>
      </c>
    </row>
    <row r="236" spans="1:9" x14ac:dyDescent="0.2">
      <c r="A236" s="2">
        <v>44769</v>
      </c>
      <c r="B236" s="3" t="s">
        <v>191</v>
      </c>
      <c r="C236" s="3" t="s">
        <v>285</v>
      </c>
      <c r="D236" s="3">
        <v>10</v>
      </c>
      <c r="E236" s="3">
        <v>1.44</v>
      </c>
      <c r="F236" s="3">
        <v>4.3999999999999897</v>
      </c>
      <c r="G236" s="3" t="s">
        <v>293</v>
      </c>
      <c r="H236">
        <v>-1</v>
      </c>
      <c r="I236">
        <f>23/41</f>
        <v>0.56097560975609762</v>
      </c>
    </row>
    <row r="237" spans="1:9" x14ac:dyDescent="0.2">
      <c r="A237" s="2">
        <v>44769</v>
      </c>
      <c r="B237" s="3" t="s">
        <v>192</v>
      </c>
      <c r="C237" s="3" t="s">
        <v>286</v>
      </c>
      <c r="D237" s="3">
        <v>10</v>
      </c>
      <c r="E237" s="3">
        <v>2.75</v>
      </c>
      <c r="F237" s="3">
        <v>17.5</v>
      </c>
      <c r="G237" s="3" t="s">
        <v>293</v>
      </c>
      <c r="H237">
        <v>-1</v>
      </c>
      <c r="I237">
        <f>46/80</f>
        <v>0.57499999999999996</v>
      </c>
    </row>
    <row r="238" spans="1:9" x14ac:dyDescent="0.2">
      <c r="A238" s="2">
        <v>44769</v>
      </c>
      <c r="B238" s="3" t="s">
        <v>193</v>
      </c>
      <c r="C238" s="3" t="s">
        <v>285</v>
      </c>
      <c r="D238" s="3">
        <v>10</v>
      </c>
      <c r="E238" s="3">
        <v>1.5</v>
      </c>
      <c r="F238" s="3">
        <v>5</v>
      </c>
      <c r="G238" s="3" t="s">
        <v>293</v>
      </c>
      <c r="H238">
        <v>-1</v>
      </c>
      <c r="I238">
        <f>31/57</f>
        <v>0.54385964912280704</v>
      </c>
    </row>
    <row r="239" spans="1:9" x14ac:dyDescent="0.2">
      <c r="A239" s="2">
        <v>44769</v>
      </c>
      <c r="B239" s="3" t="s">
        <v>194</v>
      </c>
      <c r="C239" s="3" t="s">
        <v>286</v>
      </c>
      <c r="D239" s="3">
        <v>10</v>
      </c>
      <c r="E239" s="3">
        <v>1.75</v>
      </c>
      <c r="F239" s="3">
        <v>7.5</v>
      </c>
      <c r="G239" s="3" t="s">
        <v>292</v>
      </c>
      <c r="H239">
        <v>0.75</v>
      </c>
      <c r="I239">
        <f>37/64</f>
        <v>0.578125</v>
      </c>
    </row>
    <row r="240" spans="1:9" x14ac:dyDescent="0.2">
      <c r="A240" s="2">
        <v>44769</v>
      </c>
      <c r="B240" s="3" t="s">
        <v>195</v>
      </c>
      <c r="C240" s="3" t="s">
        <v>286</v>
      </c>
      <c r="D240" s="3">
        <v>10</v>
      </c>
      <c r="E240" s="3">
        <v>1.66</v>
      </c>
      <c r="F240" s="3">
        <v>6.5999999999999899</v>
      </c>
      <c r="G240" s="3" t="s">
        <v>292</v>
      </c>
      <c r="H240">
        <v>0.65999999999999903</v>
      </c>
      <c r="I240">
        <f>23/38</f>
        <v>0.60526315789473684</v>
      </c>
    </row>
    <row r="241" spans="1:9" x14ac:dyDescent="0.2">
      <c r="A241" s="2">
        <v>44769</v>
      </c>
      <c r="B241" s="3" t="s">
        <v>196</v>
      </c>
      <c r="C241" s="3" t="s">
        <v>285</v>
      </c>
      <c r="D241" s="3">
        <v>10</v>
      </c>
      <c r="E241" s="3">
        <v>1.44</v>
      </c>
      <c r="F241" s="3">
        <v>4.3999999999999897</v>
      </c>
      <c r="G241" s="3" t="s">
        <v>292</v>
      </c>
      <c r="H241">
        <v>0.43999999999999895</v>
      </c>
      <c r="I241">
        <f>34/47</f>
        <v>0.72340425531914898</v>
      </c>
    </row>
    <row r="242" spans="1:9" x14ac:dyDescent="0.2">
      <c r="A242" s="2">
        <v>44769</v>
      </c>
      <c r="B242" s="3" t="s">
        <v>197</v>
      </c>
      <c r="C242" s="3" t="s">
        <v>285</v>
      </c>
      <c r="D242" s="3">
        <v>10</v>
      </c>
      <c r="E242" s="3">
        <v>1.25</v>
      </c>
      <c r="F242" s="3">
        <v>2.5</v>
      </c>
      <c r="G242" s="3" t="s">
        <v>292</v>
      </c>
      <c r="H242">
        <v>0.25</v>
      </c>
      <c r="I242">
        <f>34/58</f>
        <v>0.58620689655172409</v>
      </c>
    </row>
    <row r="243" spans="1:9" x14ac:dyDescent="0.2">
      <c r="A243" s="2">
        <v>44769</v>
      </c>
      <c r="B243" s="3" t="s">
        <v>116</v>
      </c>
      <c r="C243" s="3" t="s">
        <v>286</v>
      </c>
      <c r="D243" s="3">
        <v>10</v>
      </c>
      <c r="E243" s="3">
        <v>1.61</v>
      </c>
      <c r="F243" s="3">
        <v>6.1</v>
      </c>
      <c r="G243" s="3" t="s">
        <v>292</v>
      </c>
      <c r="H243">
        <v>0.61</v>
      </c>
      <c r="I243">
        <v>0.5</v>
      </c>
    </row>
    <row r="244" spans="1:9" x14ac:dyDescent="0.2">
      <c r="A244" s="2">
        <v>44769</v>
      </c>
      <c r="B244" s="3" t="s">
        <v>89</v>
      </c>
      <c r="C244" s="3" t="s">
        <v>285</v>
      </c>
      <c r="D244" s="3">
        <v>10</v>
      </c>
      <c r="E244" s="3">
        <v>1.8</v>
      </c>
      <c r="F244" s="3">
        <v>8</v>
      </c>
      <c r="G244" s="3" t="s">
        <v>293</v>
      </c>
      <c r="H244">
        <v>-1</v>
      </c>
      <c r="I244">
        <v>0.5</v>
      </c>
    </row>
    <row r="245" spans="1:9" x14ac:dyDescent="0.2">
      <c r="A245" s="2">
        <v>44769</v>
      </c>
      <c r="B245" s="3" t="s">
        <v>309</v>
      </c>
      <c r="C245" s="3" t="s">
        <v>286</v>
      </c>
      <c r="D245" s="3">
        <v>10</v>
      </c>
      <c r="E245" s="3">
        <v>1.8</v>
      </c>
      <c r="F245" s="3">
        <v>8</v>
      </c>
      <c r="G245" s="3" t="s">
        <v>293</v>
      </c>
      <c r="H245">
        <v>-1</v>
      </c>
      <c r="I245">
        <f>43/74</f>
        <v>0.58108108108108103</v>
      </c>
    </row>
    <row r="246" spans="1:9" x14ac:dyDescent="0.2">
      <c r="A246" s="2">
        <v>44770</v>
      </c>
      <c r="B246" s="3" t="s">
        <v>198</v>
      </c>
      <c r="C246" s="3" t="s">
        <v>285</v>
      </c>
      <c r="D246" s="3">
        <v>10</v>
      </c>
      <c r="E246" s="3">
        <v>1.57</v>
      </c>
      <c r="F246" s="3">
        <v>5.7</v>
      </c>
      <c r="G246" s="3" t="s">
        <v>292</v>
      </c>
      <c r="H246">
        <v>0.57000000000000006</v>
      </c>
      <c r="I246">
        <f>16/33</f>
        <v>0.48484848484848486</v>
      </c>
    </row>
    <row r="247" spans="1:9" x14ac:dyDescent="0.2">
      <c r="A247" s="2">
        <v>44770</v>
      </c>
      <c r="B247" s="3" t="s">
        <v>199</v>
      </c>
      <c r="C247" s="3" t="s">
        <v>285</v>
      </c>
      <c r="D247" s="3">
        <v>10</v>
      </c>
      <c r="E247" s="3">
        <v>1.36</v>
      </c>
      <c r="F247" s="3">
        <v>3.6</v>
      </c>
      <c r="G247" s="3" t="s">
        <v>292</v>
      </c>
      <c r="H247">
        <v>0.36</v>
      </c>
      <c r="I247">
        <f>40/59</f>
        <v>0.67796610169491522</v>
      </c>
    </row>
    <row r="248" spans="1:9" x14ac:dyDescent="0.2">
      <c r="A248" s="2">
        <v>44770</v>
      </c>
      <c r="B248" s="3" t="s">
        <v>200</v>
      </c>
      <c r="C248" s="3" t="s">
        <v>285</v>
      </c>
      <c r="D248" s="3">
        <v>10</v>
      </c>
      <c r="E248" s="3">
        <v>1.72</v>
      </c>
      <c r="F248" s="3">
        <v>7.1999999999999904</v>
      </c>
      <c r="G248" s="3" t="s">
        <v>292</v>
      </c>
      <c r="H248">
        <v>0.71999999999999909</v>
      </c>
      <c r="I248">
        <f>35/52</f>
        <v>0.67307692307692313</v>
      </c>
    </row>
    <row r="249" spans="1:9" x14ac:dyDescent="0.2">
      <c r="A249" s="2">
        <v>44770</v>
      </c>
      <c r="B249" s="3" t="s">
        <v>201</v>
      </c>
      <c r="C249" s="3" t="s">
        <v>285</v>
      </c>
      <c r="D249" s="3">
        <v>10</v>
      </c>
      <c r="E249" s="3">
        <v>1.4</v>
      </c>
      <c r="F249" s="3">
        <v>4</v>
      </c>
      <c r="G249" s="3" t="s">
        <v>292</v>
      </c>
      <c r="H249">
        <v>0.4</v>
      </c>
      <c r="I249">
        <f>39/59</f>
        <v>0.66101694915254239</v>
      </c>
    </row>
    <row r="250" spans="1:9" x14ac:dyDescent="0.2">
      <c r="A250" s="2">
        <v>44770</v>
      </c>
      <c r="B250" s="3" t="s">
        <v>202</v>
      </c>
      <c r="C250" s="3" t="s">
        <v>286</v>
      </c>
      <c r="D250" s="3">
        <v>10</v>
      </c>
      <c r="E250" s="3">
        <v>1.75</v>
      </c>
      <c r="F250" s="3">
        <v>7.5</v>
      </c>
      <c r="G250" s="3" t="s">
        <v>292</v>
      </c>
      <c r="H250">
        <v>0.75</v>
      </c>
      <c r="I250">
        <f>8/14</f>
        <v>0.5714285714285714</v>
      </c>
    </row>
    <row r="251" spans="1:9" x14ac:dyDescent="0.2">
      <c r="A251" s="2">
        <v>44770</v>
      </c>
      <c r="B251" s="3" t="s">
        <v>203</v>
      </c>
      <c r="C251" s="3" t="s">
        <v>285</v>
      </c>
      <c r="D251" s="3">
        <v>10</v>
      </c>
      <c r="E251" s="3">
        <v>1.72</v>
      </c>
      <c r="F251" s="3">
        <v>7.1999999999999904</v>
      </c>
      <c r="G251" s="3" t="s">
        <v>292</v>
      </c>
      <c r="H251">
        <v>0.71999999999999909</v>
      </c>
      <c r="I251">
        <f>23/33</f>
        <v>0.69696969696969702</v>
      </c>
    </row>
    <row r="252" spans="1:9" x14ac:dyDescent="0.2">
      <c r="A252" s="2">
        <v>44770</v>
      </c>
      <c r="B252" s="3" t="s">
        <v>135</v>
      </c>
      <c r="C252" s="3" t="s">
        <v>286</v>
      </c>
      <c r="D252" s="3">
        <v>10</v>
      </c>
      <c r="E252" s="3">
        <v>2.2000000000000002</v>
      </c>
      <c r="F252" s="3">
        <v>12</v>
      </c>
      <c r="G252" s="3" t="s">
        <v>292</v>
      </c>
      <c r="H252">
        <v>1.2</v>
      </c>
      <c r="I252">
        <v>0.55384615384615388</v>
      </c>
    </row>
    <row r="253" spans="1:9" x14ac:dyDescent="0.2">
      <c r="A253" s="2">
        <v>44770</v>
      </c>
      <c r="B253" s="3" t="s">
        <v>204</v>
      </c>
      <c r="C253" s="3" t="s">
        <v>285</v>
      </c>
      <c r="D253" s="3">
        <v>10</v>
      </c>
      <c r="E253" s="3">
        <v>1.57</v>
      </c>
      <c r="F253" s="3">
        <v>5.7</v>
      </c>
      <c r="G253" s="3" t="s">
        <v>292</v>
      </c>
      <c r="H253">
        <v>0.57000000000000006</v>
      </c>
      <c r="I253">
        <f>28/42</f>
        <v>0.66666666666666663</v>
      </c>
    </row>
    <row r="254" spans="1:9" x14ac:dyDescent="0.2">
      <c r="A254" s="2">
        <v>44770</v>
      </c>
      <c r="B254" s="3" t="s">
        <v>205</v>
      </c>
      <c r="C254" s="3" t="s">
        <v>286</v>
      </c>
      <c r="D254" s="3">
        <v>10</v>
      </c>
      <c r="E254" s="3">
        <v>2.5</v>
      </c>
      <c r="F254" s="3">
        <v>15</v>
      </c>
      <c r="G254" s="3" t="s">
        <v>293</v>
      </c>
      <c r="H254">
        <v>-1</v>
      </c>
      <c r="I254">
        <f>52/89</f>
        <v>0.5842696629213483</v>
      </c>
    </row>
    <row r="255" spans="1:9" x14ac:dyDescent="0.2">
      <c r="A255" s="2">
        <v>44771</v>
      </c>
      <c r="B255" s="3" t="s">
        <v>206</v>
      </c>
      <c r="C255" s="3" t="s">
        <v>285</v>
      </c>
      <c r="D255" s="3">
        <v>10</v>
      </c>
      <c r="E255" s="3">
        <v>1.44</v>
      </c>
      <c r="F255" s="3">
        <v>4.3999999999999897</v>
      </c>
      <c r="G255" s="3" t="s">
        <v>292</v>
      </c>
      <c r="H255">
        <v>0.43999999999999895</v>
      </c>
      <c r="I255">
        <f>51/78</f>
        <v>0.65384615384615385</v>
      </c>
    </row>
    <row r="256" spans="1:9" x14ac:dyDescent="0.2">
      <c r="A256" s="2">
        <v>44771</v>
      </c>
      <c r="B256" s="3" t="s">
        <v>207</v>
      </c>
      <c r="C256" s="3" t="s">
        <v>285</v>
      </c>
      <c r="D256" s="3">
        <v>10</v>
      </c>
      <c r="E256" s="3">
        <v>1.57</v>
      </c>
      <c r="F256" s="3">
        <v>5.7</v>
      </c>
      <c r="G256" s="3" t="s">
        <v>293</v>
      </c>
      <c r="H256">
        <v>-1</v>
      </c>
      <c r="I256">
        <f>22/48</f>
        <v>0.45833333333333331</v>
      </c>
    </row>
    <row r="257" spans="1:9" x14ac:dyDescent="0.2">
      <c r="A257" s="2">
        <v>44771</v>
      </c>
      <c r="B257" s="3" t="s">
        <v>115</v>
      </c>
      <c r="C257" s="3" t="s">
        <v>286</v>
      </c>
      <c r="D257" s="3">
        <v>10</v>
      </c>
      <c r="E257" s="3">
        <v>1.53</v>
      </c>
      <c r="F257" s="3">
        <v>5.3</v>
      </c>
      <c r="G257" s="3" t="s">
        <v>292</v>
      </c>
      <c r="H257">
        <v>0.53</v>
      </c>
      <c r="I257">
        <v>0.56923076923076921</v>
      </c>
    </row>
    <row r="258" spans="1:9" x14ac:dyDescent="0.2">
      <c r="A258" s="2">
        <v>44771</v>
      </c>
      <c r="B258" s="3" t="s">
        <v>208</v>
      </c>
      <c r="C258" s="3" t="s">
        <v>286</v>
      </c>
      <c r="D258" s="3">
        <v>10</v>
      </c>
      <c r="E258" s="3">
        <v>1.57</v>
      </c>
      <c r="F258" s="3">
        <v>5.7</v>
      </c>
      <c r="G258" s="3" t="s">
        <v>292</v>
      </c>
      <c r="H258">
        <v>0.57000000000000006</v>
      </c>
      <c r="I258">
        <f>25/41</f>
        <v>0.6097560975609756</v>
      </c>
    </row>
    <row r="259" spans="1:9" x14ac:dyDescent="0.2">
      <c r="A259" s="2">
        <v>44771</v>
      </c>
      <c r="B259" s="3" t="s">
        <v>209</v>
      </c>
      <c r="C259" s="3" t="s">
        <v>285</v>
      </c>
      <c r="D259" s="3">
        <v>10</v>
      </c>
      <c r="E259" s="3">
        <v>1.61</v>
      </c>
      <c r="F259" s="3">
        <v>6.1</v>
      </c>
      <c r="G259" s="3" t="s">
        <v>292</v>
      </c>
      <c r="H259">
        <v>0.61</v>
      </c>
      <c r="I259">
        <f>11/18</f>
        <v>0.61111111111111116</v>
      </c>
    </row>
    <row r="260" spans="1:9" x14ac:dyDescent="0.2">
      <c r="A260" s="2">
        <v>44771</v>
      </c>
      <c r="B260" s="3" t="s">
        <v>210</v>
      </c>
      <c r="C260" s="3" t="s">
        <v>286</v>
      </c>
      <c r="D260" s="3">
        <v>10</v>
      </c>
      <c r="E260" s="3">
        <v>1.5</v>
      </c>
      <c r="F260" s="3">
        <v>5</v>
      </c>
      <c r="G260" s="3" t="s">
        <v>292</v>
      </c>
      <c r="H260">
        <v>0.5</v>
      </c>
      <c r="I260">
        <f>32/52</f>
        <v>0.61538461538461542</v>
      </c>
    </row>
    <row r="261" spans="1:9" x14ac:dyDescent="0.2">
      <c r="A261" s="2">
        <v>44771</v>
      </c>
      <c r="B261" s="3" t="s">
        <v>31</v>
      </c>
      <c r="C261" s="3" t="s">
        <v>286</v>
      </c>
      <c r="D261" s="3">
        <v>10</v>
      </c>
      <c r="E261" s="3">
        <v>2</v>
      </c>
      <c r="F261" s="3">
        <v>10</v>
      </c>
      <c r="G261" s="3" t="s">
        <v>292</v>
      </c>
      <c r="H261">
        <v>1</v>
      </c>
      <c r="I261">
        <v>0.44117647058823528</v>
      </c>
    </row>
    <row r="262" spans="1:9" x14ac:dyDescent="0.2">
      <c r="A262" s="2">
        <v>44771</v>
      </c>
      <c r="B262" s="3" t="s">
        <v>211</v>
      </c>
      <c r="C262" s="3" t="s">
        <v>285</v>
      </c>
      <c r="D262" s="3">
        <v>10</v>
      </c>
      <c r="E262" s="3">
        <v>1.66</v>
      </c>
      <c r="F262" s="3">
        <v>6.5999999999999899</v>
      </c>
      <c r="G262" s="3" t="s">
        <v>293</v>
      </c>
      <c r="H262">
        <v>-1</v>
      </c>
      <c r="I262">
        <f>39/66</f>
        <v>0.59090909090909094</v>
      </c>
    </row>
    <row r="263" spans="1:9" x14ac:dyDescent="0.2">
      <c r="A263" s="2">
        <v>44771</v>
      </c>
      <c r="B263" s="3" t="s">
        <v>39</v>
      </c>
      <c r="C263" s="3" t="s">
        <v>285</v>
      </c>
      <c r="D263" s="3">
        <v>10</v>
      </c>
      <c r="E263" s="3">
        <v>1.5</v>
      </c>
      <c r="F263" s="3">
        <v>5</v>
      </c>
      <c r="G263" s="3" t="s">
        <v>292</v>
      </c>
      <c r="H263">
        <v>0.5</v>
      </c>
      <c r="I263">
        <v>0.49180327868852458</v>
      </c>
    </row>
    <row r="264" spans="1:9" x14ac:dyDescent="0.2">
      <c r="A264" s="2">
        <v>44772</v>
      </c>
      <c r="B264" s="3" t="s">
        <v>212</v>
      </c>
      <c r="C264" s="3" t="s">
        <v>285</v>
      </c>
      <c r="D264" s="3">
        <v>10</v>
      </c>
      <c r="E264" s="3">
        <v>1.5</v>
      </c>
      <c r="F264" s="3">
        <v>5</v>
      </c>
      <c r="G264" s="3" t="s">
        <v>292</v>
      </c>
      <c r="H264">
        <v>0.5</v>
      </c>
      <c r="I264">
        <f>29/37</f>
        <v>0.78378378378378377</v>
      </c>
    </row>
    <row r="265" spans="1:9" x14ac:dyDescent="0.2">
      <c r="A265" s="2">
        <v>44772</v>
      </c>
      <c r="B265" s="3" t="s">
        <v>213</v>
      </c>
      <c r="C265" s="3" t="s">
        <v>286</v>
      </c>
      <c r="D265" s="3">
        <v>10</v>
      </c>
      <c r="E265" s="3">
        <v>1.53</v>
      </c>
      <c r="F265" s="3">
        <v>5.3</v>
      </c>
      <c r="G265" s="3" t="s">
        <v>292</v>
      </c>
      <c r="H265">
        <v>0.53</v>
      </c>
      <c r="I265">
        <f>37/61</f>
        <v>0.60655737704918034</v>
      </c>
    </row>
    <row r="266" spans="1:9" x14ac:dyDescent="0.2">
      <c r="A266" s="2">
        <v>44772</v>
      </c>
      <c r="B266" s="3" t="s">
        <v>91</v>
      </c>
      <c r="C266" s="3" t="s">
        <v>285</v>
      </c>
      <c r="D266" s="3">
        <v>10</v>
      </c>
      <c r="E266" s="3">
        <v>1.75</v>
      </c>
      <c r="F266" s="3">
        <v>7.5</v>
      </c>
      <c r="G266" s="3" t="s">
        <v>293</v>
      </c>
      <c r="H266">
        <v>-1</v>
      </c>
      <c r="I266">
        <v>0.5074626865671642</v>
      </c>
    </row>
    <row r="267" spans="1:9" x14ac:dyDescent="0.2">
      <c r="A267" s="2">
        <v>44772</v>
      </c>
      <c r="B267" s="3" t="s">
        <v>214</v>
      </c>
      <c r="C267" s="3" t="s">
        <v>285</v>
      </c>
      <c r="D267" s="3">
        <v>10</v>
      </c>
      <c r="E267" s="3">
        <v>1.57</v>
      </c>
      <c r="F267" s="3">
        <v>5.7</v>
      </c>
      <c r="G267" s="3" t="s">
        <v>293</v>
      </c>
      <c r="H267">
        <v>-1</v>
      </c>
      <c r="I267">
        <f>26/40</f>
        <v>0.65</v>
      </c>
    </row>
    <row r="268" spans="1:9" x14ac:dyDescent="0.2">
      <c r="A268" s="2">
        <v>44772</v>
      </c>
      <c r="B268" s="3" t="s">
        <v>87</v>
      </c>
      <c r="C268" s="3" t="s">
        <v>286</v>
      </c>
      <c r="D268" s="3">
        <v>10</v>
      </c>
      <c r="E268" s="3">
        <v>1.66</v>
      </c>
      <c r="F268" s="3">
        <v>6.5999999999999899</v>
      </c>
      <c r="G268" s="3" t="s">
        <v>292</v>
      </c>
      <c r="H268">
        <v>0.65999999999999903</v>
      </c>
      <c r="I268">
        <v>0.61538461538461542</v>
      </c>
    </row>
    <row r="269" spans="1:9" x14ac:dyDescent="0.2">
      <c r="A269" s="2">
        <v>44774</v>
      </c>
      <c r="B269" s="3" t="s">
        <v>31</v>
      </c>
      <c r="C269" s="3" t="s">
        <v>285</v>
      </c>
      <c r="D269" s="3">
        <v>10</v>
      </c>
      <c r="E269" s="3">
        <v>1.72</v>
      </c>
      <c r="F269" s="3">
        <v>7.1999999999999904</v>
      </c>
      <c r="G269" s="3" t="s">
        <v>293</v>
      </c>
      <c r="H269">
        <v>-1</v>
      </c>
      <c r="I269">
        <v>0.44117647058823528</v>
      </c>
    </row>
    <row r="270" spans="1:9" x14ac:dyDescent="0.2">
      <c r="A270" s="2">
        <v>44774</v>
      </c>
      <c r="B270" s="3" t="s">
        <v>215</v>
      </c>
      <c r="C270" s="3" t="s">
        <v>285</v>
      </c>
      <c r="D270" s="3">
        <v>10</v>
      </c>
      <c r="E270" s="3">
        <v>1.57</v>
      </c>
      <c r="F270" s="3">
        <v>5.7</v>
      </c>
      <c r="G270" s="3" t="s">
        <v>292</v>
      </c>
      <c r="H270">
        <v>0.57000000000000006</v>
      </c>
      <c r="I270">
        <f>26/41</f>
        <v>0.63414634146341464</v>
      </c>
    </row>
    <row r="271" spans="1:9" x14ac:dyDescent="0.2">
      <c r="A271" s="2">
        <v>44774</v>
      </c>
      <c r="B271" s="3" t="s">
        <v>216</v>
      </c>
      <c r="C271" s="3" t="s">
        <v>285</v>
      </c>
      <c r="D271" s="3">
        <v>10</v>
      </c>
      <c r="E271" s="3">
        <v>1.44</v>
      </c>
      <c r="F271" s="3">
        <v>4.3999999999999897</v>
      </c>
      <c r="G271" s="3" t="s">
        <v>292</v>
      </c>
      <c r="H271">
        <v>0.43999999999999895</v>
      </c>
      <c r="I271">
        <f>56/83</f>
        <v>0.67469879518072284</v>
      </c>
    </row>
    <row r="272" spans="1:9" x14ac:dyDescent="0.2">
      <c r="A272" s="2">
        <v>44774</v>
      </c>
      <c r="B272" s="3" t="s">
        <v>217</v>
      </c>
      <c r="C272" s="3" t="s">
        <v>286</v>
      </c>
      <c r="D272" s="3">
        <v>10</v>
      </c>
      <c r="E272" s="3">
        <v>1.44</v>
      </c>
      <c r="F272" s="3">
        <v>4.3999999999999897</v>
      </c>
      <c r="G272" s="3" t="s">
        <v>293</v>
      </c>
      <c r="H272">
        <v>-1</v>
      </c>
      <c r="I272">
        <f>15/30</f>
        <v>0.5</v>
      </c>
    </row>
    <row r="273" spans="1:9" x14ac:dyDescent="0.2">
      <c r="A273" s="2">
        <v>44774</v>
      </c>
      <c r="B273" s="3" t="s">
        <v>218</v>
      </c>
      <c r="C273" s="3" t="s">
        <v>286</v>
      </c>
      <c r="D273" s="3">
        <v>10</v>
      </c>
      <c r="E273" s="3">
        <v>1.5</v>
      </c>
      <c r="F273" s="3">
        <v>5</v>
      </c>
      <c r="G273" s="3" t="s">
        <v>292</v>
      </c>
      <c r="H273">
        <v>0.5</v>
      </c>
      <c r="I273">
        <f>12/24</f>
        <v>0.5</v>
      </c>
    </row>
    <row r="274" spans="1:9" x14ac:dyDescent="0.2">
      <c r="A274" s="2">
        <v>44774</v>
      </c>
      <c r="B274" s="3" t="s">
        <v>219</v>
      </c>
      <c r="C274" s="3" t="s">
        <v>285</v>
      </c>
      <c r="D274" s="3">
        <v>10</v>
      </c>
      <c r="E274" s="3">
        <v>1.57</v>
      </c>
      <c r="F274" s="3">
        <v>5.7</v>
      </c>
      <c r="G274" s="3" t="s">
        <v>292</v>
      </c>
      <c r="H274">
        <v>0.57000000000000006</v>
      </c>
      <c r="I274">
        <f>9/22</f>
        <v>0.40909090909090912</v>
      </c>
    </row>
    <row r="275" spans="1:9" x14ac:dyDescent="0.2">
      <c r="A275" s="2">
        <v>44775</v>
      </c>
      <c r="B275" s="3" t="s">
        <v>220</v>
      </c>
      <c r="C275" s="3" t="s">
        <v>285</v>
      </c>
      <c r="D275" s="3">
        <v>10</v>
      </c>
      <c r="E275" s="3">
        <v>1.5</v>
      </c>
      <c r="F275" s="3">
        <v>5</v>
      </c>
      <c r="G275" s="3" t="s">
        <v>292</v>
      </c>
      <c r="H275">
        <v>0.5</v>
      </c>
      <c r="I275">
        <f>48/77</f>
        <v>0.62337662337662336</v>
      </c>
    </row>
    <row r="276" spans="1:9" x14ac:dyDescent="0.2">
      <c r="A276" s="2">
        <v>44775</v>
      </c>
      <c r="B276" s="3" t="s">
        <v>221</v>
      </c>
      <c r="C276" s="3" t="s">
        <v>285</v>
      </c>
      <c r="D276" s="3">
        <v>10</v>
      </c>
      <c r="E276" s="3">
        <v>1.4</v>
      </c>
      <c r="F276" s="3">
        <v>4</v>
      </c>
      <c r="G276" s="3" t="s">
        <v>293</v>
      </c>
      <c r="H276">
        <v>-1</v>
      </c>
      <c r="I276">
        <f>35/57</f>
        <v>0.61403508771929827</v>
      </c>
    </row>
    <row r="277" spans="1:9" x14ac:dyDescent="0.2">
      <c r="A277" s="2">
        <v>44775</v>
      </c>
      <c r="B277" s="3" t="s">
        <v>222</v>
      </c>
      <c r="C277" s="3" t="s">
        <v>285</v>
      </c>
      <c r="D277" s="3">
        <v>10</v>
      </c>
      <c r="E277" s="3">
        <v>1.4</v>
      </c>
      <c r="F277" s="3">
        <v>4</v>
      </c>
      <c r="G277" s="3" t="s">
        <v>292</v>
      </c>
      <c r="H277">
        <v>0.4</v>
      </c>
      <c r="I277">
        <f>21/42</f>
        <v>0.5</v>
      </c>
    </row>
    <row r="278" spans="1:9" x14ac:dyDescent="0.2">
      <c r="A278" s="2">
        <v>44775</v>
      </c>
      <c r="B278" s="3" t="s">
        <v>223</v>
      </c>
      <c r="C278" s="3" t="s">
        <v>286</v>
      </c>
      <c r="D278" s="3">
        <v>10</v>
      </c>
      <c r="E278" s="3">
        <v>1.4</v>
      </c>
      <c r="F278" s="3">
        <v>4</v>
      </c>
      <c r="G278" s="3" t="s">
        <v>292</v>
      </c>
      <c r="H278">
        <v>0.4</v>
      </c>
      <c r="I278">
        <f>36/61</f>
        <v>0.5901639344262295</v>
      </c>
    </row>
    <row r="279" spans="1:9" x14ac:dyDescent="0.2">
      <c r="A279" s="2">
        <v>44775</v>
      </c>
      <c r="B279" s="3" t="s">
        <v>224</v>
      </c>
      <c r="C279" s="3" t="s">
        <v>285</v>
      </c>
      <c r="D279" s="3">
        <v>10</v>
      </c>
      <c r="E279" s="3">
        <v>1.9</v>
      </c>
      <c r="F279" s="3">
        <v>9</v>
      </c>
      <c r="G279" s="3" t="s">
        <v>293</v>
      </c>
      <c r="H279">
        <v>-1</v>
      </c>
      <c r="I279">
        <f>52/88</f>
        <v>0.59090909090909094</v>
      </c>
    </row>
    <row r="280" spans="1:9" x14ac:dyDescent="0.2">
      <c r="A280" s="2">
        <v>44775</v>
      </c>
      <c r="B280" s="3" t="s">
        <v>225</v>
      </c>
      <c r="C280" s="3" t="s">
        <v>286</v>
      </c>
      <c r="D280" s="3">
        <v>10</v>
      </c>
      <c r="E280" s="3">
        <v>1.5</v>
      </c>
      <c r="F280" s="3">
        <v>5</v>
      </c>
      <c r="G280" s="3" t="s">
        <v>293</v>
      </c>
      <c r="H280">
        <v>-1</v>
      </c>
      <c r="I280">
        <f>20/49</f>
        <v>0.40816326530612246</v>
      </c>
    </row>
    <row r="281" spans="1:9" x14ac:dyDescent="0.2">
      <c r="A281" s="2">
        <v>44775</v>
      </c>
      <c r="B281" s="3" t="s">
        <v>226</v>
      </c>
      <c r="C281" s="3" t="s">
        <v>285</v>
      </c>
      <c r="D281" s="3">
        <v>10</v>
      </c>
      <c r="E281" s="3">
        <v>1.72</v>
      </c>
      <c r="F281" s="3">
        <v>7.1999999999999904</v>
      </c>
      <c r="G281" s="3" t="s">
        <v>292</v>
      </c>
      <c r="H281">
        <v>0.71999999999999909</v>
      </c>
      <c r="I281">
        <f>48/75</f>
        <v>0.64</v>
      </c>
    </row>
    <row r="282" spans="1:9" x14ac:dyDescent="0.2">
      <c r="A282" s="2">
        <v>44775</v>
      </c>
      <c r="B282" s="3" t="s">
        <v>106</v>
      </c>
      <c r="C282" s="3" t="s">
        <v>285</v>
      </c>
      <c r="D282" s="3">
        <v>10</v>
      </c>
      <c r="E282" s="3">
        <v>1.5</v>
      </c>
      <c r="F282" s="3">
        <v>5</v>
      </c>
      <c r="G282" s="3" t="s">
        <v>292</v>
      </c>
      <c r="H282">
        <v>0.5</v>
      </c>
      <c r="I282">
        <v>0.69444444444444442</v>
      </c>
    </row>
    <row r="283" spans="1:9" x14ac:dyDescent="0.2">
      <c r="A283" s="2">
        <v>44775</v>
      </c>
      <c r="B283" s="3" t="s">
        <v>113</v>
      </c>
      <c r="C283" s="3" t="s">
        <v>286</v>
      </c>
      <c r="D283" s="3">
        <v>10</v>
      </c>
      <c r="E283" s="3">
        <v>1.66</v>
      </c>
      <c r="F283" s="3">
        <v>6.5999999999999899</v>
      </c>
      <c r="G283" s="3" t="s">
        <v>293</v>
      </c>
      <c r="H283">
        <v>-1</v>
      </c>
      <c r="I283">
        <v>0.453125</v>
      </c>
    </row>
    <row r="284" spans="1:9" x14ac:dyDescent="0.2">
      <c r="A284" s="2">
        <v>44775</v>
      </c>
      <c r="B284" s="3" t="s">
        <v>145</v>
      </c>
      <c r="C284" s="3" t="s">
        <v>285</v>
      </c>
      <c r="D284" s="3">
        <v>10</v>
      </c>
      <c r="E284" s="3">
        <v>1.5</v>
      </c>
      <c r="F284" s="3">
        <v>5</v>
      </c>
      <c r="G284" s="3" t="s">
        <v>292</v>
      </c>
      <c r="H284">
        <v>0.5</v>
      </c>
      <c r="I284">
        <v>0.625</v>
      </c>
    </row>
    <row r="285" spans="1:9" x14ac:dyDescent="0.2">
      <c r="A285" s="2">
        <v>44776</v>
      </c>
      <c r="B285" s="3" t="s">
        <v>227</v>
      </c>
      <c r="C285" s="3" t="s">
        <v>285</v>
      </c>
      <c r="D285" s="3">
        <v>10</v>
      </c>
      <c r="E285" s="3">
        <v>1.57</v>
      </c>
      <c r="F285" s="3">
        <v>5.7</v>
      </c>
      <c r="G285" s="3" t="s">
        <v>293</v>
      </c>
      <c r="H285">
        <v>-1</v>
      </c>
      <c r="I285">
        <f>40/70</f>
        <v>0.5714285714285714</v>
      </c>
    </row>
    <row r="286" spans="1:9" x14ac:dyDescent="0.2">
      <c r="A286" s="2">
        <v>44776</v>
      </c>
      <c r="B286" s="3" t="s">
        <v>81</v>
      </c>
      <c r="C286" s="3" t="s">
        <v>286</v>
      </c>
      <c r="D286" s="3">
        <v>10</v>
      </c>
      <c r="E286" s="3">
        <v>1.61</v>
      </c>
      <c r="F286" s="3">
        <v>6.1</v>
      </c>
      <c r="G286" s="3" t="s">
        <v>292</v>
      </c>
      <c r="H286">
        <v>0.61</v>
      </c>
      <c r="I286">
        <v>0.57627118644067798</v>
      </c>
    </row>
    <row r="287" spans="1:9" x14ac:dyDescent="0.2">
      <c r="A287" s="2">
        <v>44776</v>
      </c>
      <c r="B287" s="3" t="s">
        <v>228</v>
      </c>
      <c r="C287" s="3" t="s">
        <v>285</v>
      </c>
      <c r="D287" s="3">
        <v>10</v>
      </c>
      <c r="E287" s="3">
        <v>1.95</v>
      </c>
      <c r="F287" s="3">
        <v>9.5</v>
      </c>
      <c r="G287" s="3" t="s">
        <v>292</v>
      </c>
      <c r="H287">
        <v>0.95</v>
      </c>
      <c r="I287">
        <f>17/27</f>
        <v>0.62962962962962965</v>
      </c>
    </row>
    <row r="288" spans="1:9" x14ac:dyDescent="0.2">
      <c r="A288" s="2">
        <v>44776</v>
      </c>
      <c r="B288" s="3" t="s">
        <v>229</v>
      </c>
      <c r="C288" s="3" t="s">
        <v>285</v>
      </c>
      <c r="D288" s="3">
        <v>10</v>
      </c>
      <c r="E288" s="3">
        <v>1.61</v>
      </c>
      <c r="F288" s="3">
        <v>6.1</v>
      </c>
      <c r="G288" s="3" t="s">
        <v>293</v>
      </c>
      <c r="H288">
        <v>-1</v>
      </c>
      <c r="I288">
        <f>34/63</f>
        <v>0.53968253968253965</v>
      </c>
    </row>
    <row r="289" spans="1:9" x14ac:dyDescent="0.2">
      <c r="A289" s="2">
        <v>44776</v>
      </c>
      <c r="B289" s="3" t="s">
        <v>230</v>
      </c>
      <c r="C289" s="3" t="s">
        <v>285</v>
      </c>
      <c r="D289" s="3">
        <v>10</v>
      </c>
      <c r="E289" s="3">
        <v>1.83</v>
      </c>
      <c r="F289" s="3">
        <v>8.3000000000000007</v>
      </c>
      <c r="G289" s="3" t="s">
        <v>293</v>
      </c>
      <c r="H289">
        <v>-1</v>
      </c>
      <c r="I289">
        <f>37/66</f>
        <v>0.56060606060606055</v>
      </c>
    </row>
    <row r="290" spans="1:9" x14ac:dyDescent="0.2">
      <c r="A290" s="2">
        <v>44776</v>
      </c>
      <c r="B290" s="3" t="s">
        <v>231</v>
      </c>
      <c r="C290" s="3" t="s">
        <v>286</v>
      </c>
      <c r="D290" s="3">
        <v>10</v>
      </c>
      <c r="E290" s="3">
        <v>1.72</v>
      </c>
      <c r="F290" s="3">
        <v>7.1999999999999904</v>
      </c>
      <c r="G290" s="3" t="s">
        <v>293</v>
      </c>
      <c r="H290">
        <v>-1</v>
      </c>
      <c r="I290">
        <f>7/21</f>
        <v>0.33333333333333331</v>
      </c>
    </row>
    <row r="291" spans="1:9" x14ac:dyDescent="0.2">
      <c r="A291" s="2">
        <v>44776</v>
      </c>
      <c r="B291" s="3" t="s">
        <v>232</v>
      </c>
      <c r="C291" s="3" t="s">
        <v>285</v>
      </c>
      <c r="D291" s="3">
        <v>10</v>
      </c>
      <c r="E291" s="3">
        <v>2</v>
      </c>
      <c r="F291" s="3">
        <v>10</v>
      </c>
      <c r="G291" s="3" t="s">
        <v>292</v>
      </c>
      <c r="H291">
        <v>1</v>
      </c>
      <c r="I291">
        <f>25/53</f>
        <v>0.47169811320754718</v>
      </c>
    </row>
    <row r="292" spans="1:9" x14ac:dyDescent="0.2">
      <c r="A292" s="2">
        <v>44776</v>
      </c>
      <c r="B292" s="3" t="s">
        <v>233</v>
      </c>
      <c r="C292" s="3" t="s">
        <v>286</v>
      </c>
      <c r="D292" s="3">
        <v>10</v>
      </c>
      <c r="E292" s="3">
        <v>3</v>
      </c>
      <c r="F292" s="3">
        <v>20</v>
      </c>
      <c r="G292" s="3" t="s">
        <v>293</v>
      </c>
      <c r="H292">
        <v>-1</v>
      </c>
      <c r="I292">
        <f>24/43</f>
        <v>0.55813953488372092</v>
      </c>
    </row>
    <row r="293" spans="1:9" x14ac:dyDescent="0.2">
      <c r="A293" s="2">
        <v>44776</v>
      </c>
      <c r="B293" s="3" t="s">
        <v>234</v>
      </c>
      <c r="C293" s="3" t="s">
        <v>286</v>
      </c>
      <c r="D293" s="3">
        <v>10</v>
      </c>
      <c r="E293" s="3">
        <v>1.75</v>
      </c>
      <c r="F293" s="3">
        <v>7.5</v>
      </c>
      <c r="G293" s="3" t="s">
        <v>292</v>
      </c>
      <c r="H293">
        <v>0.75</v>
      </c>
      <c r="I293">
        <f>3/5</f>
        <v>0.6</v>
      </c>
    </row>
    <row r="294" spans="1:9" x14ac:dyDescent="0.2">
      <c r="A294" s="2">
        <v>44776</v>
      </c>
      <c r="B294" s="3" t="s">
        <v>235</v>
      </c>
      <c r="C294" s="3" t="s">
        <v>286</v>
      </c>
      <c r="D294" s="3">
        <v>10</v>
      </c>
      <c r="E294" s="3">
        <v>1.44</v>
      </c>
      <c r="F294" s="3">
        <v>4.3999999999999897</v>
      </c>
      <c r="G294" s="3" t="s">
        <v>293</v>
      </c>
      <c r="H294">
        <v>-1</v>
      </c>
      <c r="I294">
        <f>34/48</f>
        <v>0.70833333333333337</v>
      </c>
    </row>
    <row r="295" spans="1:9" x14ac:dyDescent="0.2">
      <c r="A295" s="2">
        <v>44776</v>
      </c>
      <c r="B295" s="3" t="s">
        <v>236</v>
      </c>
      <c r="C295" s="3" t="s">
        <v>285</v>
      </c>
      <c r="D295" s="3">
        <v>10</v>
      </c>
      <c r="E295" s="3">
        <v>1.3</v>
      </c>
      <c r="F295" s="3">
        <v>3</v>
      </c>
      <c r="G295" s="3" t="s">
        <v>292</v>
      </c>
      <c r="H295">
        <v>0.3</v>
      </c>
      <c r="I295">
        <f>34/60</f>
        <v>0.56666666666666665</v>
      </c>
    </row>
    <row r="296" spans="1:9" x14ac:dyDescent="0.2">
      <c r="A296" s="2">
        <v>44776</v>
      </c>
      <c r="B296" s="3" t="s">
        <v>237</v>
      </c>
      <c r="C296" s="3" t="s">
        <v>286</v>
      </c>
      <c r="D296" s="3">
        <v>10</v>
      </c>
      <c r="E296" s="3">
        <v>1.4</v>
      </c>
      <c r="F296" s="3">
        <v>4</v>
      </c>
      <c r="G296" s="3" t="s">
        <v>292</v>
      </c>
      <c r="H296">
        <v>0.4</v>
      </c>
      <c r="I296">
        <f>39/67</f>
        <v>0.58208955223880599</v>
      </c>
    </row>
    <row r="297" spans="1:9" x14ac:dyDescent="0.2">
      <c r="A297" s="2">
        <v>44776</v>
      </c>
      <c r="B297" s="3" t="s">
        <v>238</v>
      </c>
      <c r="C297" s="3" t="s">
        <v>286</v>
      </c>
      <c r="D297" s="3">
        <v>10</v>
      </c>
      <c r="E297" s="3">
        <v>1.66</v>
      </c>
      <c r="F297" s="3">
        <v>6.5999999999999899</v>
      </c>
      <c r="G297" s="3" t="s">
        <v>292</v>
      </c>
      <c r="H297">
        <v>0.65999999999999903</v>
      </c>
      <c r="I297">
        <f>21/43</f>
        <v>0.48837209302325579</v>
      </c>
    </row>
    <row r="298" spans="1:9" x14ac:dyDescent="0.2">
      <c r="A298" s="2">
        <v>44776</v>
      </c>
      <c r="B298" s="3" t="s">
        <v>239</v>
      </c>
      <c r="C298" s="3" t="s">
        <v>285</v>
      </c>
      <c r="D298" s="3">
        <v>10</v>
      </c>
      <c r="E298" s="3">
        <v>2.25</v>
      </c>
      <c r="F298" s="3">
        <v>12.5</v>
      </c>
      <c r="G298" s="3" t="s">
        <v>292</v>
      </c>
      <c r="H298">
        <v>1.25</v>
      </c>
      <c r="I298">
        <f>22/42</f>
        <v>0.52380952380952384</v>
      </c>
    </row>
    <row r="299" spans="1:9" x14ac:dyDescent="0.2">
      <c r="A299" s="2">
        <v>44777</v>
      </c>
      <c r="B299" s="3" t="s">
        <v>70</v>
      </c>
      <c r="C299" s="3" t="s">
        <v>286</v>
      </c>
      <c r="D299" s="3">
        <v>10</v>
      </c>
      <c r="E299" s="3">
        <v>2</v>
      </c>
      <c r="F299" s="3">
        <v>10</v>
      </c>
      <c r="G299" s="3" t="s">
        <v>292</v>
      </c>
      <c r="H299">
        <v>1</v>
      </c>
      <c r="I299">
        <v>0.76595744680851063</v>
      </c>
    </row>
    <row r="300" spans="1:9" x14ac:dyDescent="0.2">
      <c r="A300" s="2">
        <v>44777</v>
      </c>
      <c r="B300" s="3" t="s">
        <v>216</v>
      </c>
      <c r="C300" s="3" t="s">
        <v>285</v>
      </c>
      <c r="D300" s="3">
        <v>10</v>
      </c>
      <c r="E300" s="3">
        <v>1.61</v>
      </c>
      <c r="F300" s="3">
        <v>6.1</v>
      </c>
      <c r="G300" s="3" t="s">
        <v>293</v>
      </c>
      <c r="H300">
        <v>-1</v>
      </c>
      <c r="I300">
        <v>0.67469879518072284</v>
      </c>
    </row>
    <row r="301" spans="1:9" x14ac:dyDescent="0.2">
      <c r="A301" s="2">
        <v>44777</v>
      </c>
      <c r="B301" s="3" t="s">
        <v>240</v>
      </c>
      <c r="C301" s="3" t="s">
        <v>285</v>
      </c>
      <c r="D301" s="3">
        <v>10</v>
      </c>
      <c r="E301" s="3">
        <v>1.61</v>
      </c>
      <c r="F301" s="3">
        <v>6.1</v>
      </c>
      <c r="G301" s="3" t="s">
        <v>293</v>
      </c>
      <c r="H301">
        <v>-1</v>
      </c>
      <c r="I301">
        <f>37/63</f>
        <v>0.58730158730158732</v>
      </c>
    </row>
    <row r="302" spans="1:9" x14ac:dyDescent="0.2">
      <c r="A302" s="2">
        <v>44777</v>
      </c>
      <c r="B302" s="3" t="s">
        <v>241</v>
      </c>
      <c r="C302" s="3" t="s">
        <v>286</v>
      </c>
      <c r="D302" s="3">
        <v>10</v>
      </c>
      <c r="E302" s="3">
        <v>1.66</v>
      </c>
      <c r="F302" s="3">
        <v>6.5999999999999899</v>
      </c>
      <c r="G302" s="3" t="s">
        <v>292</v>
      </c>
      <c r="H302">
        <v>0.65999999999999903</v>
      </c>
      <c r="I302">
        <f>15/28</f>
        <v>0.5357142857142857</v>
      </c>
    </row>
    <row r="303" spans="1:9" x14ac:dyDescent="0.2">
      <c r="A303" s="2">
        <v>44777</v>
      </c>
      <c r="B303" s="3" t="s">
        <v>242</v>
      </c>
      <c r="C303" s="3" t="s">
        <v>285</v>
      </c>
      <c r="D303" s="3">
        <v>10</v>
      </c>
      <c r="E303" s="3">
        <v>1.4</v>
      </c>
      <c r="F303" s="3">
        <v>4</v>
      </c>
      <c r="G303" s="3" t="s">
        <v>292</v>
      </c>
      <c r="H303">
        <v>0.4</v>
      </c>
      <c r="I303">
        <f>34/50</f>
        <v>0.68</v>
      </c>
    </row>
    <row r="304" spans="1:9" x14ac:dyDescent="0.2">
      <c r="A304" s="2">
        <v>44777</v>
      </c>
      <c r="B304" s="3" t="s">
        <v>243</v>
      </c>
      <c r="C304" s="3" t="s">
        <v>285</v>
      </c>
      <c r="D304" s="3">
        <v>10</v>
      </c>
      <c r="E304" s="3">
        <v>1.4</v>
      </c>
      <c r="F304" s="3">
        <v>4</v>
      </c>
      <c r="G304" s="3" t="s">
        <v>293</v>
      </c>
      <c r="H304">
        <v>-1</v>
      </c>
      <c r="I304">
        <f>37/74</f>
        <v>0.5</v>
      </c>
    </row>
    <row r="305" spans="1:9" x14ac:dyDescent="0.2">
      <c r="A305" s="2">
        <v>44777</v>
      </c>
      <c r="B305" s="3" t="s">
        <v>244</v>
      </c>
      <c r="C305" s="3" t="s">
        <v>286</v>
      </c>
      <c r="D305" s="3">
        <v>10</v>
      </c>
      <c r="E305" s="3">
        <v>1.7</v>
      </c>
      <c r="F305" s="3">
        <v>7</v>
      </c>
      <c r="G305" s="3" t="s">
        <v>293</v>
      </c>
      <c r="H305">
        <v>-1</v>
      </c>
      <c r="I305">
        <f>46/63</f>
        <v>0.73015873015873012</v>
      </c>
    </row>
    <row r="306" spans="1:9" x14ac:dyDescent="0.2">
      <c r="A306" s="2">
        <v>44777</v>
      </c>
      <c r="B306" s="3" t="s">
        <v>234</v>
      </c>
      <c r="C306" s="3" t="s">
        <v>286</v>
      </c>
      <c r="D306" s="3">
        <v>10</v>
      </c>
      <c r="E306" s="3">
        <v>1.9</v>
      </c>
      <c r="F306" s="3">
        <v>9</v>
      </c>
      <c r="G306" s="3" t="s">
        <v>293</v>
      </c>
      <c r="H306">
        <v>-1</v>
      </c>
      <c r="I306">
        <v>0.6</v>
      </c>
    </row>
    <row r="307" spans="1:9" x14ac:dyDescent="0.2">
      <c r="A307" s="2">
        <v>44777</v>
      </c>
      <c r="B307" s="3" t="s">
        <v>245</v>
      </c>
      <c r="C307" s="3" t="s">
        <v>285</v>
      </c>
      <c r="D307" s="3">
        <v>10</v>
      </c>
      <c r="E307" s="3">
        <v>1.44</v>
      </c>
      <c r="F307" s="3">
        <v>4.3999999999999897</v>
      </c>
      <c r="G307" s="3" t="s">
        <v>292</v>
      </c>
      <c r="H307">
        <v>0.43999999999999895</v>
      </c>
      <c r="I307">
        <f>55/79</f>
        <v>0.69620253164556967</v>
      </c>
    </row>
    <row r="308" spans="1:9" x14ac:dyDescent="0.2">
      <c r="A308" s="2">
        <v>44777</v>
      </c>
      <c r="B308" s="3" t="s">
        <v>246</v>
      </c>
      <c r="C308" s="3" t="s">
        <v>286</v>
      </c>
      <c r="D308" s="3">
        <v>10</v>
      </c>
      <c r="E308" s="3">
        <v>1.9</v>
      </c>
      <c r="F308" s="3">
        <v>9</v>
      </c>
      <c r="G308" s="3" t="s">
        <v>292</v>
      </c>
      <c r="H308">
        <v>0.9</v>
      </c>
      <c r="I308">
        <f>25/40</f>
        <v>0.625</v>
      </c>
    </row>
    <row r="309" spans="1:9" x14ac:dyDescent="0.2">
      <c r="A309" s="2">
        <v>44777</v>
      </c>
      <c r="B309" s="3" t="s">
        <v>247</v>
      </c>
      <c r="C309" s="3" t="s">
        <v>286</v>
      </c>
      <c r="D309" s="3">
        <v>10</v>
      </c>
      <c r="E309" s="3">
        <v>1.7</v>
      </c>
      <c r="F309" s="3">
        <v>7</v>
      </c>
      <c r="G309" s="3" t="s">
        <v>292</v>
      </c>
      <c r="H309">
        <v>0.7</v>
      </c>
      <c r="I309">
        <f>35/68</f>
        <v>0.51470588235294112</v>
      </c>
    </row>
    <row r="310" spans="1:9" x14ac:dyDescent="0.2">
      <c r="A310" s="2">
        <v>44777</v>
      </c>
      <c r="B310" s="3" t="s">
        <v>32</v>
      </c>
      <c r="C310" s="3" t="s">
        <v>286</v>
      </c>
      <c r="D310" s="3">
        <v>10</v>
      </c>
      <c r="E310" s="3">
        <v>1.5</v>
      </c>
      <c r="F310" s="3">
        <v>5</v>
      </c>
      <c r="G310" s="3" t="s">
        <v>292</v>
      </c>
      <c r="H310">
        <v>0.5</v>
      </c>
      <c r="I310">
        <v>0.66129032258064513</v>
      </c>
    </row>
    <row r="311" spans="1:9" x14ac:dyDescent="0.2">
      <c r="A311" s="2">
        <v>44778</v>
      </c>
      <c r="B311" s="3" t="s">
        <v>248</v>
      </c>
      <c r="C311" s="3" t="s">
        <v>286</v>
      </c>
      <c r="D311" s="3">
        <v>10</v>
      </c>
      <c r="E311" s="3">
        <v>1.53</v>
      </c>
      <c r="F311" s="3">
        <v>5.3</v>
      </c>
      <c r="G311" s="3" t="s">
        <v>293</v>
      </c>
      <c r="H311">
        <v>-1</v>
      </c>
      <c r="I311">
        <f>19/51</f>
        <v>0.37254901960784315</v>
      </c>
    </row>
    <row r="312" spans="1:9" x14ac:dyDescent="0.2">
      <c r="A312" s="2">
        <v>44778</v>
      </c>
      <c r="B312" s="3" t="s">
        <v>249</v>
      </c>
      <c r="C312" s="3" t="s">
        <v>286</v>
      </c>
      <c r="D312" s="3">
        <v>10</v>
      </c>
      <c r="E312" s="3">
        <v>1.75</v>
      </c>
      <c r="F312" s="3">
        <v>7.5</v>
      </c>
      <c r="G312" s="3" t="s">
        <v>292</v>
      </c>
      <c r="H312">
        <v>0.75</v>
      </c>
      <c r="I312">
        <f>26/47</f>
        <v>0.55319148936170215</v>
      </c>
    </row>
    <row r="313" spans="1:9" x14ac:dyDescent="0.2">
      <c r="A313" s="2">
        <v>44778</v>
      </c>
      <c r="B313" s="3" t="s">
        <v>184</v>
      </c>
      <c r="C313" s="3" t="s">
        <v>286</v>
      </c>
      <c r="D313" s="3">
        <v>10</v>
      </c>
      <c r="E313" s="3">
        <v>1.53</v>
      </c>
      <c r="F313" s="3">
        <v>5.3</v>
      </c>
      <c r="G313" s="3" t="s">
        <v>292</v>
      </c>
      <c r="H313">
        <v>0.53</v>
      </c>
      <c r="I313">
        <v>0.62857142857142856</v>
      </c>
    </row>
    <row r="314" spans="1:9" x14ac:dyDescent="0.2">
      <c r="A314" s="2">
        <v>44778</v>
      </c>
      <c r="B314" s="3" t="s">
        <v>60</v>
      </c>
      <c r="C314" s="3" t="s">
        <v>286</v>
      </c>
      <c r="D314" s="3">
        <v>10</v>
      </c>
      <c r="E314" s="3">
        <v>1.61</v>
      </c>
      <c r="F314" s="3">
        <v>6.1</v>
      </c>
      <c r="G314" s="3" t="s">
        <v>292</v>
      </c>
      <c r="H314">
        <v>0.61</v>
      </c>
      <c r="I314">
        <f>36/56</f>
        <v>0.6428571428571429</v>
      </c>
    </row>
    <row r="315" spans="1:9" x14ac:dyDescent="0.2">
      <c r="A315" s="2">
        <v>44778</v>
      </c>
      <c r="B315" s="3" t="s">
        <v>250</v>
      </c>
      <c r="C315" s="3" t="s">
        <v>286</v>
      </c>
      <c r="D315" s="3">
        <v>10</v>
      </c>
      <c r="E315" s="3">
        <v>1.9</v>
      </c>
      <c r="F315" s="3">
        <v>9</v>
      </c>
      <c r="G315" s="3" t="s">
        <v>292</v>
      </c>
      <c r="H315">
        <v>0.9</v>
      </c>
      <c r="I315">
        <f>41/56</f>
        <v>0.7321428571428571</v>
      </c>
    </row>
    <row r="316" spans="1:9" x14ac:dyDescent="0.2">
      <c r="A316" s="2">
        <v>44778</v>
      </c>
      <c r="B316" s="3" t="s">
        <v>251</v>
      </c>
      <c r="C316" s="3" t="s">
        <v>285</v>
      </c>
      <c r="D316" s="3">
        <v>10</v>
      </c>
      <c r="E316" s="3">
        <v>1.75</v>
      </c>
      <c r="F316" s="3">
        <v>7.5</v>
      </c>
      <c r="G316" s="3" t="s">
        <v>293</v>
      </c>
      <c r="H316">
        <v>-1</v>
      </c>
      <c r="I316">
        <f>50/86</f>
        <v>0.58139534883720934</v>
      </c>
    </row>
    <row r="317" spans="1:9" x14ac:dyDescent="0.2">
      <c r="A317" s="2">
        <v>44778</v>
      </c>
      <c r="B317" s="3" t="s">
        <v>252</v>
      </c>
      <c r="C317" s="3" t="s">
        <v>285</v>
      </c>
      <c r="D317" s="3">
        <v>10</v>
      </c>
      <c r="E317" s="3">
        <v>1.44</v>
      </c>
      <c r="F317" s="3">
        <v>4.3999999999999897</v>
      </c>
      <c r="G317" s="3" t="s">
        <v>293</v>
      </c>
      <c r="H317">
        <v>-1</v>
      </c>
      <c r="I317">
        <f>44/62</f>
        <v>0.70967741935483875</v>
      </c>
    </row>
    <row r="318" spans="1:9" x14ac:dyDescent="0.2">
      <c r="A318" s="2">
        <v>44778</v>
      </c>
      <c r="B318" s="3" t="s">
        <v>1</v>
      </c>
      <c r="C318" s="3" t="s">
        <v>285</v>
      </c>
      <c r="D318" s="3">
        <v>10</v>
      </c>
      <c r="E318" s="3">
        <v>1.5</v>
      </c>
      <c r="F318" s="3">
        <v>5</v>
      </c>
      <c r="G318" s="3" t="s">
        <v>293</v>
      </c>
      <c r="H318">
        <v>-1</v>
      </c>
      <c r="I318">
        <v>0.61538461538461542</v>
      </c>
    </row>
    <row r="319" spans="1:9" x14ac:dyDescent="0.2">
      <c r="A319" s="2">
        <v>44778</v>
      </c>
      <c r="B319" s="3" t="s">
        <v>253</v>
      </c>
      <c r="C319" s="3" t="s">
        <v>285</v>
      </c>
      <c r="D319" s="3">
        <v>10</v>
      </c>
      <c r="E319" s="3">
        <v>1.66</v>
      </c>
      <c r="F319" s="3">
        <v>6.5999999999999899</v>
      </c>
      <c r="G319" s="3" t="s">
        <v>293</v>
      </c>
      <c r="H319">
        <v>-1</v>
      </c>
      <c r="I319">
        <f>19/46</f>
        <v>0.41304347826086957</v>
      </c>
    </row>
    <row r="320" spans="1:9" x14ac:dyDescent="0.2">
      <c r="A320" s="2">
        <v>44778</v>
      </c>
      <c r="B320" s="3" t="s">
        <v>310</v>
      </c>
      <c r="C320" s="3" t="s">
        <v>285</v>
      </c>
      <c r="D320" s="3">
        <v>10</v>
      </c>
      <c r="E320" s="3">
        <v>1.53</v>
      </c>
      <c r="F320" s="3">
        <v>5.3</v>
      </c>
      <c r="G320" s="3" t="s">
        <v>292</v>
      </c>
      <c r="H320">
        <v>0.53</v>
      </c>
      <c r="I320">
        <f>38/66</f>
        <v>0.5757575757575758</v>
      </c>
    </row>
    <row r="321" spans="1:9" x14ac:dyDescent="0.2">
      <c r="A321" s="2">
        <v>44778</v>
      </c>
      <c r="B321" s="3" t="s">
        <v>254</v>
      </c>
      <c r="C321" s="3" t="s">
        <v>285</v>
      </c>
      <c r="D321" s="3">
        <v>10</v>
      </c>
      <c r="E321" s="3">
        <v>1.5</v>
      </c>
      <c r="F321" s="3">
        <v>5</v>
      </c>
      <c r="G321" s="3" t="s">
        <v>292</v>
      </c>
      <c r="H321">
        <v>0.5</v>
      </c>
      <c r="I321">
        <f>34/56</f>
        <v>0.6071428571428571</v>
      </c>
    </row>
    <row r="322" spans="1:9" x14ac:dyDescent="0.2">
      <c r="A322" s="2">
        <v>44781</v>
      </c>
      <c r="B322" s="3" t="s">
        <v>255</v>
      </c>
      <c r="C322" s="3" t="s">
        <v>286</v>
      </c>
      <c r="D322" s="3">
        <v>10</v>
      </c>
      <c r="E322" s="3">
        <v>1.9</v>
      </c>
      <c r="F322" s="3">
        <v>9</v>
      </c>
      <c r="G322" s="3" t="s">
        <v>292</v>
      </c>
      <c r="H322">
        <v>0.9</v>
      </c>
      <c r="I322">
        <f>8/23</f>
        <v>0.34782608695652173</v>
      </c>
    </row>
    <row r="323" spans="1:9" x14ac:dyDescent="0.2">
      <c r="A323" s="2">
        <v>44781</v>
      </c>
      <c r="B323" s="3" t="s">
        <v>256</v>
      </c>
      <c r="C323" s="3" t="s">
        <v>286</v>
      </c>
      <c r="D323" s="3">
        <v>10</v>
      </c>
      <c r="E323" s="3">
        <v>1.53</v>
      </c>
      <c r="F323" s="3">
        <v>5.3</v>
      </c>
      <c r="G323" s="3" t="s">
        <v>292</v>
      </c>
      <c r="H323">
        <v>0.53</v>
      </c>
      <c r="I323">
        <f>44/71</f>
        <v>0.61971830985915488</v>
      </c>
    </row>
    <row r="324" spans="1:9" x14ac:dyDescent="0.2">
      <c r="A324" s="2">
        <v>44781</v>
      </c>
      <c r="B324" s="3" t="s">
        <v>257</v>
      </c>
      <c r="C324" s="3" t="s">
        <v>286</v>
      </c>
      <c r="D324" s="3">
        <v>10</v>
      </c>
      <c r="E324" s="3">
        <v>1.8</v>
      </c>
      <c r="F324" s="3">
        <v>8</v>
      </c>
      <c r="G324" s="3" t="s">
        <v>293</v>
      </c>
      <c r="H324">
        <v>-1</v>
      </c>
      <c r="I324">
        <f>29/50</f>
        <v>0.57999999999999996</v>
      </c>
    </row>
    <row r="325" spans="1:9" x14ac:dyDescent="0.2">
      <c r="A325" s="2">
        <v>44781</v>
      </c>
      <c r="B325" s="3" t="s">
        <v>258</v>
      </c>
      <c r="C325" s="3" t="s">
        <v>285</v>
      </c>
      <c r="D325" s="3">
        <v>10</v>
      </c>
      <c r="E325" s="3">
        <v>1.57</v>
      </c>
      <c r="F325" s="3">
        <v>5.7</v>
      </c>
      <c r="G325" s="3" t="s">
        <v>293</v>
      </c>
      <c r="H325">
        <v>-1</v>
      </c>
      <c r="I325">
        <f>79/121</f>
        <v>0.65289256198347112</v>
      </c>
    </row>
    <row r="326" spans="1:9" x14ac:dyDescent="0.2">
      <c r="A326" s="2">
        <v>44781</v>
      </c>
      <c r="B326" s="3" t="s">
        <v>247</v>
      </c>
      <c r="C326" s="3" t="s">
        <v>286</v>
      </c>
      <c r="D326" s="3">
        <v>10</v>
      </c>
      <c r="E326" s="3">
        <v>1.57</v>
      </c>
      <c r="F326" s="3">
        <v>5.7</v>
      </c>
      <c r="G326" s="3" t="s">
        <v>292</v>
      </c>
      <c r="H326">
        <v>0.57000000000000006</v>
      </c>
      <c r="I326">
        <v>0.51470588235294112</v>
      </c>
    </row>
    <row r="327" spans="1:9" x14ac:dyDescent="0.2">
      <c r="A327" s="2">
        <v>44781</v>
      </c>
      <c r="B327" s="3" t="s">
        <v>259</v>
      </c>
      <c r="C327" s="3" t="s">
        <v>286</v>
      </c>
      <c r="D327" s="3">
        <v>10</v>
      </c>
      <c r="E327" s="3">
        <v>1.75</v>
      </c>
      <c r="F327" s="3">
        <v>7.5</v>
      </c>
      <c r="G327" s="3" t="s">
        <v>292</v>
      </c>
      <c r="H327">
        <v>0.75</v>
      </c>
      <c r="I327">
        <f>12/31</f>
        <v>0.38709677419354838</v>
      </c>
    </row>
    <row r="328" spans="1:9" x14ac:dyDescent="0.2">
      <c r="A328" s="2">
        <v>44781</v>
      </c>
      <c r="B328" s="3" t="s">
        <v>260</v>
      </c>
      <c r="C328" s="3" t="s">
        <v>286</v>
      </c>
      <c r="D328" s="3">
        <v>10</v>
      </c>
      <c r="E328" s="3">
        <v>1.7</v>
      </c>
      <c r="F328" s="3">
        <v>7</v>
      </c>
      <c r="G328" s="3" t="s">
        <v>293</v>
      </c>
      <c r="H328">
        <v>-1</v>
      </c>
      <c r="I328">
        <f>24/56</f>
        <v>0.42857142857142855</v>
      </c>
    </row>
    <row r="329" spans="1:9" x14ac:dyDescent="0.2">
      <c r="A329" s="2">
        <v>44781</v>
      </c>
      <c r="B329" s="3" t="s">
        <v>261</v>
      </c>
      <c r="C329" s="3" t="s">
        <v>286</v>
      </c>
      <c r="D329" s="3">
        <v>10</v>
      </c>
      <c r="E329" s="3">
        <v>1.44</v>
      </c>
      <c r="F329" s="3">
        <v>4.3999999999999897</v>
      </c>
      <c r="G329" s="3" t="s">
        <v>292</v>
      </c>
      <c r="H329">
        <v>0.43999999999999895</v>
      </c>
      <c r="I329">
        <f>51/74</f>
        <v>0.68918918918918914</v>
      </c>
    </row>
    <row r="330" spans="1:9" x14ac:dyDescent="0.2">
      <c r="A330" s="2">
        <v>44781</v>
      </c>
      <c r="B330" s="3" t="s">
        <v>262</v>
      </c>
      <c r="C330" s="3" t="s">
        <v>285</v>
      </c>
      <c r="D330" s="3">
        <v>10</v>
      </c>
      <c r="E330" s="3">
        <v>1.66</v>
      </c>
      <c r="F330" s="3">
        <v>6.5999999999999899</v>
      </c>
      <c r="G330" s="3" t="s">
        <v>293</v>
      </c>
      <c r="H330">
        <v>-1</v>
      </c>
      <c r="I330">
        <f>29/65</f>
        <v>0.44615384615384618</v>
      </c>
    </row>
    <row r="331" spans="1:9" x14ac:dyDescent="0.2">
      <c r="A331" s="2">
        <v>44781</v>
      </c>
      <c r="B331" s="3" t="s">
        <v>263</v>
      </c>
      <c r="C331" s="3" t="s">
        <v>286</v>
      </c>
      <c r="D331" s="3">
        <v>10</v>
      </c>
      <c r="E331" s="3">
        <v>1.5</v>
      </c>
      <c r="F331" s="3">
        <v>5</v>
      </c>
      <c r="G331" s="3" t="s">
        <v>292</v>
      </c>
      <c r="H331">
        <v>0.5</v>
      </c>
      <c r="I331">
        <f>34/56</f>
        <v>0.6071428571428571</v>
      </c>
    </row>
    <row r="332" spans="1:9" x14ac:dyDescent="0.2">
      <c r="A332" s="2">
        <v>44782</v>
      </c>
      <c r="B332" s="3" t="s">
        <v>162</v>
      </c>
      <c r="C332" s="3" t="s">
        <v>285</v>
      </c>
      <c r="D332" s="3">
        <v>10</v>
      </c>
      <c r="E332" s="3">
        <v>1.75</v>
      </c>
      <c r="F332" s="3">
        <v>7.5</v>
      </c>
      <c r="G332" s="3" t="s">
        <v>293</v>
      </c>
      <c r="H332">
        <v>-1</v>
      </c>
      <c r="I332">
        <v>0.56944444444444442</v>
      </c>
    </row>
    <row r="333" spans="1:9" x14ac:dyDescent="0.2">
      <c r="A333" s="2">
        <v>44782</v>
      </c>
      <c r="B333" s="3" t="s">
        <v>264</v>
      </c>
      <c r="C333" s="3" t="s">
        <v>285</v>
      </c>
      <c r="D333" s="3">
        <v>10</v>
      </c>
      <c r="E333" s="3">
        <v>2</v>
      </c>
      <c r="F333" s="3">
        <v>10</v>
      </c>
      <c r="G333" s="3" t="s">
        <v>292</v>
      </c>
      <c r="H333">
        <v>1</v>
      </c>
      <c r="I333">
        <f>22/51</f>
        <v>0.43137254901960786</v>
      </c>
    </row>
    <row r="334" spans="1:9" x14ac:dyDescent="0.2">
      <c r="A334" s="2">
        <v>44782</v>
      </c>
      <c r="B334" s="3" t="s">
        <v>47</v>
      </c>
      <c r="C334" s="3" t="s">
        <v>285</v>
      </c>
      <c r="D334" s="3">
        <v>10</v>
      </c>
      <c r="E334" s="3">
        <v>1.75</v>
      </c>
      <c r="F334" s="3">
        <v>7.5</v>
      </c>
      <c r="G334" s="3" t="s">
        <v>292</v>
      </c>
      <c r="H334">
        <v>0.75</v>
      </c>
      <c r="I334">
        <v>0.35714285714285715</v>
      </c>
    </row>
    <row r="335" spans="1:9" x14ac:dyDescent="0.2">
      <c r="A335" s="2">
        <v>44782</v>
      </c>
      <c r="B335" s="3" t="s">
        <v>265</v>
      </c>
      <c r="C335" s="3" t="s">
        <v>286</v>
      </c>
      <c r="D335" s="3">
        <v>10</v>
      </c>
      <c r="E335" s="3">
        <v>1.53</v>
      </c>
      <c r="F335" s="3">
        <v>5.3</v>
      </c>
      <c r="G335" s="3" t="s">
        <v>292</v>
      </c>
      <c r="H335">
        <v>0.53</v>
      </c>
      <c r="I335">
        <f>44/69</f>
        <v>0.6376811594202898</v>
      </c>
    </row>
    <row r="336" spans="1:9" x14ac:dyDescent="0.2">
      <c r="A336" s="2">
        <v>44782</v>
      </c>
      <c r="B336" s="3" t="s">
        <v>266</v>
      </c>
      <c r="C336" s="3" t="s">
        <v>285</v>
      </c>
      <c r="D336" s="3">
        <v>10</v>
      </c>
      <c r="E336" s="3">
        <v>1.3</v>
      </c>
      <c r="F336" s="3">
        <v>3</v>
      </c>
      <c r="G336" s="3" t="s">
        <v>292</v>
      </c>
      <c r="H336">
        <v>0.3</v>
      </c>
      <c r="I336">
        <f>34/70</f>
        <v>0.48571428571428571</v>
      </c>
    </row>
    <row r="337" spans="1:9" x14ac:dyDescent="0.2">
      <c r="A337" s="2">
        <v>44782</v>
      </c>
      <c r="B337" s="3" t="s">
        <v>267</v>
      </c>
      <c r="C337" s="3" t="s">
        <v>286</v>
      </c>
      <c r="D337" s="3">
        <v>10</v>
      </c>
      <c r="E337" s="3">
        <v>1.2</v>
      </c>
      <c r="F337" s="3">
        <v>2</v>
      </c>
      <c r="G337" s="3" t="s">
        <v>292</v>
      </c>
      <c r="H337">
        <v>0.2</v>
      </c>
      <c r="I337">
        <f>10/34</f>
        <v>0.29411764705882354</v>
      </c>
    </row>
    <row r="338" spans="1:9" x14ac:dyDescent="0.2">
      <c r="A338" s="2">
        <v>44782</v>
      </c>
      <c r="B338" s="3" t="s">
        <v>268</v>
      </c>
      <c r="C338" s="3" t="s">
        <v>286</v>
      </c>
      <c r="D338" s="3">
        <v>10</v>
      </c>
      <c r="E338" s="3">
        <v>1.53</v>
      </c>
      <c r="F338" s="3">
        <v>5.3</v>
      </c>
      <c r="G338" s="3" t="s">
        <v>292</v>
      </c>
      <c r="H338">
        <v>0.53</v>
      </c>
      <c r="I338">
        <f>63/88</f>
        <v>0.71590909090909094</v>
      </c>
    </row>
    <row r="339" spans="1:9" x14ac:dyDescent="0.2">
      <c r="A339" s="2">
        <v>44782</v>
      </c>
      <c r="B339" s="3" t="s">
        <v>269</v>
      </c>
      <c r="C339" s="3" t="s">
        <v>286</v>
      </c>
      <c r="D339" s="3">
        <v>10</v>
      </c>
      <c r="E339" s="3">
        <v>2.1</v>
      </c>
      <c r="F339" s="3">
        <v>11</v>
      </c>
      <c r="G339" s="3" t="s">
        <v>293</v>
      </c>
      <c r="H339">
        <v>-1</v>
      </c>
      <c r="I339">
        <f>30/51</f>
        <v>0.58823529411764708</v>
      </c>
    </row>
    <row r="340" spans="1:9" x14ac:dyDescent="0.2">
      <c r="A340" s="2">
        <v>44782</v>
      </c>
      <c r="B340" s="3" t="s">
        <v>270</v>
      </c>
      <c r="C340" s="3" t="s">
        <v>285</v>
      </c>
      <c r="D340" s="3">
        <v>10</v>
      </c>
      <c r="E340" s="3">
        <v>1.66</v>
      </c>
      <c r="F340" s="3">
        <v>6.5999999999999899</v>
      </c>
      <c r="G340" s="3" t="s">
        <v>293</v>
      </c>
      <c r="H340">
        <v>-1</v>
      </c>
      <c r="I340">
        <f>16/25</f>
        <v>0.64</v>
      </c>
    </row>
    <row r="341" spans="1:9" x14ac:dyDescent="0.2">
      <c r="A341" s="2">
        <v>44795</v>
      </c>
      <c r="B341" s="3" t="s">
        <v>271</v>
      </c>
      <c r="C341" s="3" t="s">
        <v>285</v>
      </c>
      <c r="D341" s="3">
        <v>10</v>
      </c>
      <c r="E341" s="3">
        <v>1.4</v>
      </c>
      <c r="F341" s="3">
        <v>4</v>
      </c>
      <c r="G341" s="3" t="s">
        <v>292</v>
      </c>
      <c r="H341">
        <v>0.4</v>
      </c>
      <c r="I341">
        <f>33/55</f>
        <v>0.6</v>
      </c>
    </row>
    <row r="342" spans="1:9" x14ac:dyDescent="0.2">
      <c r="A342" s="2">
        <v>44795</v>
      </c>
      <c r="B342" s="3" t="s">
        <v>272</v>
      </c>
      <c r="C342" s="3" t="s">
        <v>285</v>
      </c>
      <c r="D342" s="3">
        <v>10</v>
      </c>
      <c r="E342" s="3">
        <v>1.28</v>
      </c>
      <c r="F342" s="3">
        <v>2.8</v>
      </c>
      <c r="G342" s="3" t="s">
        <v>292</v>
      </c>
      <c r="H342">
        <v>0.27999999999999997</v>
      </c>
      <c r="I342">
        <f>31/66</f>
        <v>0.46969696969696972</v>
      </c>
    </row>
    <row r="343" spans="1:9" x14ac:dyDescent="0.2">
      <c r="A343" s="2">
        <v>44795</v>
      </c>
      <c r="B343" s="3" t="s">
        <v>273</v>
      </c>
      <c r="C343" s="3" t="s">
        <v>285</v>
      </c>
      <c r="D343" s="3">
        <v>10</v>
      </c>
      <c r="E343" s="3">
        <v>1.7</v>
      </c>
      <c r="F343" s="3">
        <v>7</v>
      </c>
      <c r="G343" s="3" t="s">
        <v>293</v>
      </c>
      <c r="H343">
        <v>-1</v>
      </c>
      <c r="I343">
        <f>15/37</f>
        <v>0.40540540540540543</v>
      </c>
    </row>
    <row r="344" spans="1:9" x14ac:dyDescent="0.2">
      <c r="A344" s="2">
        <v>44795</v>
      </c>
      <c r="B344" s="3" t="s">
        <v>274</v>
      </c>
      <c r="C344" s="3" t="s">
        <v>285</v>
      </c>
      <c r="D344" s="3">
        <v>10</v>
      </c>
      <c r="E344" s="3">
        <v>1.28</v>
      </c>
      <c r="F344" s="3">
        <v>2.8</v>
      </c>
      <c r="G344" s="3" t="s">
        <v>292</v>
      </c>
      <c r="H344">
        <v>0.27999999999999997</v>
      </c>
      <c r="I344">
        <f>23/39</f>
        <v>0.58974358974358976</v>
      </c>
    </row>
    <row r="345" spans="1:9" x14ac:dyDescent="0.2">
      <c r="A345" s="2">
        <v>44795</v>
      </c>
      <c r="B345" s="3" t="s">
        <v>275</v>
      </c>
      <c r="C345" s="3" t="s">
        <v>285</v>
      </c>
      <c r="D345" s="3">
        <v>10</v>
      </c>
      <c r="E345" s="3">
        <v>1.28</v>
      </c>
      <c r="F345" s="3">
        <v>2.8</v>
      </c>
      <c r="G345" s="3" t="s">
        <v>292</v>
      </c>
      <c r="H345">
        <v>0.27999999999999997</v>
      </c>
      <c r="I345">
        <f>52/83</f>
        <v>0.62650602409638556</v>
      </c>
    </row>
    <row r="346" spans="1:9" x14ac:dyDescent="0.2">
      <c r="A346" s="2">
        <v>44795</v>
      </c>
      <c r="B346" s="3" t="s">
        <v>276</v>
      </c>
      <c r="C346" s="3" t="s">
        <v>286</v>
      </c>
      <c r="D346" s="3">
        <v>25</v>
      </c>
      <c r="E346" s="3">
        <v>1.1399999999999999</v>
      </c>
      <c r="F346" s="3">
        <v>3.4999999999999898</v>
      </c>
      <c r="G346" s="3" t="s">
        <v>292</v>
      </c>
      <c r="H346">
        <v>0.1399999999999996</v>
      </c>
      <c r="I346">
        <f>10/27</f>
        <v>0.37037037037037035</v>
      </c>
    </row>
    <row r="347" spans="1:9" x14ac:dyDescent="0.2">
      <c r="A347" s="2">
        <v>44796</v>
      </c>
      <c r="B347" s="3" t="s">
        <v>277</v>
      </c>
      <c r="C347" s="3" t="s">
        <v>286</v>
      </c>
      <c r="D347" s="3">
        <v>10</v>
      </c>
      <c r="E347" s="3">
        <v>1.28</v>
      </c>
      <c r="F347" s="3">
        <v>2.8</v>
      </c>
      <c r="G347" s="3" t="s">
        <v>292</v>
      </c>
      <c r="H347">
        <v>0.27999999999999997</v>
      </c>
      <c r="I347">
        <f>23/52</f>
        <v>0.44230769230769229</v>
      </c>
    </row>
    <row r="348" spans="1:9" x14ac:dyDescent="0.2">
      <c r="A348" s="2">
        <v>44796</v>
      </c>
      <c r="B348" s="3" t="s">
        <v>278</v>
      </c>
      <c r="C348" s="3" t="s">
        <v>285</v>
      </c>
      <c r="D348" s="3">
        <v>10</v>
      </c>
      <c r="E348" s="3">
        <v>1.61</v>
      </c>
      <c r="F348" s="3">
        <v>6.1</v>
      </c>
      <c r="G348" s="3" t="s">
        <v>293</v>
      </c>
      <c r="H348">
        <v>-1</v>
      </c>
      <c r="I348">
        <f>13/20</f>
        <v>0.65</v>
      </c>
    </row>
    <row r="349" spans="1:9" x14ac:dyDescent="0.2">
      <c r="A349" s="2">
        <v>44796</v>
      </c>
      <c r="B349" s="3" t="s">
        <v>49</v>
      </c>
      <c r="C349" s="3" t="s">
        <v>285</v>
      </c>
      <c r="D349" s="3">
        <v>10</v>
      </c>
      <c r="E349" s="3">
        <v>1.3</v>
      </c>
      <c r="F349" s="3">
        <v>3</v>
      </c>
      <c r="G349" s="3" t="s">
        <v>292</v>
      </c>
      <c r="H349">
        <v>0.3</v>
      </c>
      <c r="I349">
        <v>0.51020408163265307</v>
      </c>
    </row>
    <row r="350" spans="1:9" x14ac:dyDescent="0.2">
      <c r="A350" s="2">
        <v>44796</v>
      </c>
      <c r="B350" s="3" t="s">
        <v>76</v>
      </c>
      <c r="C350" s="3" t="s">
        <v>285</v>
      </c>
      <c r="D350" s="3">
        <v>10</v>
      </c>
      <c r="E350" s="3">
        <v>1.25</v>
      </c>
      <c r="F350" s="3">
        <v>2.5</v>
      </c>
      <c r="G350" s="3" t="s">
        <v>293</v>
      </c>
      <c r="H350">
        <v>-1</v>
      </c>
      <c r="I350">
        <v>0.43636363636363634</v>
      </c>
    </row>
    <row r="351" spans="1:9" x14ac:dyDescent="0.2">
      <c r="A351" s="2">
        <v>44796</v>
      </c>
      <c r="B351" s="3" t="s">
        <v>76</v>
      </c>
      <c r="C351" s="3" t="s">
        <v>285</v>
      </c>
      <c r="D351" s="3">
        <v>10</v>
      </c>
      <c r="E351" s="3">
        <v>1.4</v>
      </c>
      <c r="F351" s="3">
        <v>4</v>
      </c>
      <c r="G351" s="3" t="s">
        <v>293</v>
      </c>
      <c r="H351">
        <v>-1</v>
      </c>
      <c r="I351">
        <v>0.43636363636363634</v>
      </c>
    </row>
    <row r="352" spans="1:9" x14ac:dyDescent="0.2">
      <c r="A352" s="2">
        <v>44796</v>
      </c>
      <c r="B352" s="3" t="s">
        <v>279</v>
      </c>
      <c r="C352" s="3" t="s">
        <v>285</v>
      </c>
      <c r="D352" s="3">
        <v>10</v>
      </c>
      <c r="E352" s="3">
        <v>1.5</v>
      </c>
      <c r="F352" s="3">
        <v>5</v>
      </c>
      <c r="G352" s="3" t="s">
        <v>292</v>
      </c>
      <c r="H352">
        <v>0.5</v>
      </c>
      <c r="I352">
        <f>20/39</f>
        <v>0.51282051282051277</v>
      </c>
    </row>
    <row r="353" spans="1:9" x14ac:dyDescent="0.2">
      <c r="A353" s="2">
        <v>44796</v>
      </c>
      <c r="B353" s="3" t="s">
        <v>236</v>
      </c>
      <c r="C353" s="3" t="s">
        <v>285</v>
      </c>
      <c r="D353" s="3">
        <v>10</v>
      </c>
      <c r="E353" s="3">
        <v>1.44</v>
      </c>
      <c r="F353" s="3">
        <v>4.3999999999999897</v>
      </c>
      <c r="G353" s="3" t="s">
        <v>292</v>
      </c>
      <c r="H353">
        <v>0.43999999999999895</v>
      </c>
      <c r="I353">
        <v>0.56666666666666665</v>
      </c>
    </row>
    <row r="354" spans="1:9" x14ac:dyDescent="0.2">
      <c r="A354" s="2">
        <v>44796</v>
      </c>
      <c r="B354" s="3" t="s">
        <v>280</v>
      </c>
      <c r="C354" s="3" t="s">
        <v>285</v>
      </c>
      <c r="D354" s="3">
        <v>10</v>
      </c>
      <c r="E354" s="3">
        <v>1.28</v>
      </c>
      <c r="F354" s="3">
        <v>2.8</v>
      </c>
      <c r="G354" s="3" t="s">
        <v>292</v>
      </c>
      <c r="H354">
        <v>0.27999999999999997</v>
      </c>
      <c r="I354">
        <f>20/34</f>
        <v>0.58823529411764708</v>
      </c>
    </row>
    <row r="355" spans="1:9" x14ac:dyDescent="0.2">
      <c r="A355" s="2">
        <v>44796</v>
      </c>
      <c r="B355" s="3" t="s">
        <v>281</v>
      </c>
      <c r="C355" s="3" t="s">
        <v>286</v>
      </c>
      <c r="D355" s="3">
        <v>10</v>
      </c>
      <c r="E355" s="3">
        <v>1.4</v>
      </c>
      <c r="F355" s="3">
        <v>4</v>
      </c>
      <c r="G355" s="3" t="s">
        <v>292</v>
      </c>
      <c r="H355">
        <v>0.4</v>
      </c>
      <c r="I355">
        <f>36/71</f>
        <v>0.50704225352112675</v>
      </c>
    </row>
    <row r="356" spans="1:9" x14ac:dyDescent="0.2">
      <c r="A356" s="2">
        <v>44802</v>
      </c>
      <c r="B356" s="3" t="s">
        <v>44</v>
      </c>
      <c r="C356" s="3" t="s">
        <v>285</v>
      </c>
      <c r="D356" s="3">
        <v>10</v>
      </c>
      <c r="E356" s="3">
        <v>2.37</v>
      </c>
      <c r="F356" s="3">
        <v>13.7</v>
      </c>
      <c r="G356" s="3" t="s">
        <v>292</v>
      </c>
      <c r="H356">
        <v>1.3699999999999999</v>
      </c>
      <c r="I356">
        <v>0.55844155844155841</v>
      </c>
    </row>
    <row r="357" spans="1:9" x14ac:dyDescent="0.2">
      <c r="A357" s="2">
        <v>44802</v>
      </c>
      <c r="B357" s="3" t="s">
        <v>282</v>
      </c>
      <c r="C357" s="3" t="s">
        <v>285</v>
      </c>
      <c r="D357" s="3">
        <v>10</v>
      </c>
      <c r="E357" s="3">
        <v>1.3</v>
      </c>
      <c r="F357" s="3">
        <v>3</v>
      </c>
      <c r="G357" s="3" t="s">
        <v>293</v>
      </c>
      <c r="H357">
        <v>-1</v>
      </c>
      <c r="I357">
        <f>64/89</f>
        <v>0.7191011235955056</v>
      </c>
    </row>
    <row r="358" spans="1:9" x14ac:dyDescent="0.2">
      <c r="A358" s="2">
        <v>44802</v>
      </c>
      <c r="B358" s="3" t="s">
        <v>283</v>
      </c>
      <c r="C358" s="3" t="s">
        <v>285</v>
      </c>
      <c r="D358" s="3">
        <v>10</v>
      </c>
      <c r="E358" s="3">
        <v>1.5</v>
      </c>
      <c r="F358" s="3">
        <v>5</v>
      </c>
      <c r="G358" s="3" t="s">
        <v>293</v>
      </c>
      <c r="H358">
        <v>-1</v>
      </c>
      <c r="I358">
        <f>49/70</f>
        <v>0.7</v>
      </c>
    </row>
    <row r="359" spans="1:9" x14ac:dyDescent="0.2">
      <c r="A359" s="2">
        <v>44802</v>
      </c>
      <c r="B359" s="3" t="s">
        <v>43</v>
      </c>
      <c r="C359" s="3" t="s">
        <v>285</v>
      </c>
      <c r="D359" s="3">
        <v>20</v>
      </c>
      <c r="E359" s="3">
        <v>1.1599999999999999</v>
      </c>
      <c r="F359" s="3">
        <v>3.19999999999999</v>
      </c>
      <c r="G359" s="3" t="s">
        <v>292</v>
      </c>
      <c r="H359">
        <v>0.1599999999999995</v>
      </c>
      <c r="I359">
        <v>0.74</v>
      </c>
    </row>
    <row r="360" spans="1:9" x14ac:dyDescent="0.2">
      <c r="A360" s="2">
        <v>44813</v>
      </c>
      <c r="B360" s="3" t="s">
        <v>153</v>
      </c>
      <c r="C360" s="3" t="s">
        <v>285</v>
      </c>
      <c r="D360" s="3">
        <v>10</v>
      </c>
      <c r="E360" s="3">
        <v>1.53</v>
      </c>
      <c r="F360" s="3">
        <v>5.3</v>
      </c>
      <c r="G360" s="3" t="s">
        <v>292</v>
      </c>
      <c r="H360">
        <v>0.53</v>
      </c>
      <c r="I360">
        <v>0.77027027027027029</v>
      </c>
    </row>
    <row r="361" spans="1:9" x14ac:dyDescent="0.2">
      <c r="A361" s="2">
        <v>44813</v>
      </c>
      <c r="B361" s="3" t="s">
        <v>112</v>
      </c>
      <c r="C361" s="3" t="s">
        <v>285</v>
      </c>
      <c r="D361" s="3">
        <v>10</v>
      </c>
      <c r="E361" s="3">
        <v>1.5</v>
      </c>
      <c r="F361" s="3">
        <v>5</v>
      </c>
      <c r="G361" s="3" t="s">
        <v>292</v>
      </c>
      <c r="H361">
        <v>0.5</v>
      </c>
      <c r="I361">
        <v>0.68831168831168832</v>
      </c>
    </row>
    <row r="362" spans="1:9" x14ac:dyDescent="0.2">
      <c r="A362" s="2">
        <v>44813</v>
      </c>
      <c r="B362" s="3" t="s">
        <v>284</v>
      </c>
      <c r="C362" s="3" t="s">
        <v>285</v>
      </c>
      <c r="D362" s="3">
        <v>10</v>
      </c>
      <c r="E362" s="3">
        <v>2.5</v>
      </c>
      <c r="F362" s="3">
        <v>15</v>
      </c>
      <c r="G362" s="3" t="s">
        <v>293</v>
      </c>
      <c r="H362">
        <v>-1.5</v>
      </c>
    </row>
    <row r="416" spans="1:7" x14ac:dyDescent="0.2">
      <c r="A416" s="2"/>
      <c r="B416" s="3"/>
      <c r="C416" s="3"/>
      <c r="D416" s="3"/>
      <c r="E416" s="3"/>
      <c r="F416" s="3"/>
      <c r="G41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Mathis Abiteboul</cp:lastModifiedBy>
  <dcterms:created xsi:type="dcterms:W3CDTF">2023-11-17T12:28:19Z</dcterms:created>
  <dcterms:modified xsi:type="dcterms:W3CDTF">2023-12-02T17:00:06Z</dcterms:modified>
</cp:coreProperties>
</file>